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7e89ed3cf77c/Desktop/Inflation project/"/>
    </mc:Choice>
  </mc:AlternateContent>
  <xr:revisionPtr revIDLastSave="1" documentId="13_ncr:1_{2487D568-396B-4EA0-88A1-31CB47A1339D}" xr6:coauthVersionLast="47" xr6:coauthVersionMax="47" xr10:uidLastSave="{51425E72-AAB5-4820-A3D6-FA5F3AA5DE9F}"/>
  <bookViews>
    <workbookView xWindow="-110" yWindow="-110" windowWidth="19420" windowHeight="11020" activeTab="1" xr2:uid="{0F9D3B93-92BD-4175-A1B2-8D7B24C464E9}"/>
  </bookViews>
  <sheets>
    <sheet name="data" sheetId="1" r:id="rId1"/>
    <sheet name="regression output " sheetId="6" r:id="rId2"/>
    <sheet name="inflation repo chart" sheetId="2" r:id="rId3"/>
    <sheet name="Nifty Returns Chart" sheetId="7" r:id="rId4"/>
    <sheet name="Scatter Plot (inf vs ret)" sheetId="8" r:id="rId5"/>
    <sheet name="Scatter plot (repo vs ret)" sheetId="9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1" l="1" a="1"/>
  <c r="M16" i="1" s="1"/>
  <c r="K15" i="1"/>
  <c r="K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F15" i="1"/>
  <c r="G16" i="1" s="1"/>
  <c r="B90" i="1"/>
  <c r="F90" i="1" s="1"/>
  <c r="G91" i="1" s="1"/>
  <c r="B89" i="1"/>
  <c r="F101" i="1" s="1"/>
  <c r="G102" i="1" s="1"/>
  <c r="B77" i="1"/>
  <c r="F77" i="1" s="1"/>
  <c r="G78" i="1" s="1"/>
  <c r="F99" i="1"/>
  <c r="G100" i="1" s="1"/>
  <c r="F19" i="1"/>
  <c r="G20" i="1" s="1"/>
  <c r="F20" i="1"/>
  <c r="G21" i="1" s="1"/>
  <c r="F21" i="1"/>
  <c r="G22" i="1" s="1"/>
  <c r="F22" i="1"/>
  <c r="G23" i="1" s="1"/>
  <c r="F23" i="1"/>
  <c r="G24" i="1" s="1"/>
  <c r="F24" i="1"/>
  <c r="G25" i="1" s="1"/>
  <c r="F25" i="1"/>
  <c r="G26" i="1" s="1"/>
  <c r="F26" i="1"/>
  <c r="G27" i="1" s="1"/>
  <c r="F27" i="1"/>
  <c r="G28" i="1" s="1"/>
  <c r="F28" i="1"/>
  <c r="G29" i="1" s="1"/>
  <c r="F29" i="1"/>
  <c r="G30" i="1" s="1"/>
  <c r="F30" i="1"/>
  <c r="G31" i="1" s="1"/>
  <c r="F31" i="1"/>
  <c r="G32" i="1" s="1"/>
  <c r="F32" i="1"/>
  <c r="G33" i="1" s="1"/>
  <c r="F33" i="1"/>
  <c r="H33" i="1" s="1"/>
  <c r="F34" i="1"/>
  <c r="H34" i="1" s="1"/>
  <c r="F35" i="1"/>
  <c r="I35" i="1" s="1"/>
  <c r="F36" i="1"/>
  <c r="G37" i="1" s="1"/>
  <c r="F37" i="1"/>
  <c r="G38" i="1" s="1"/>
  <c r="F38" i="1"/>
  <c r="G39" i="1" s="1"/>
  <c r="F39" i="1"/>
  <c r="G40" i="1" s="1"/>
  <c r="F40" i="1"/>
  <c r="G41" i="1" s="1"/>
  <c r="F41" i="1"/>
  <c r="G42" i="1" s="1"/>
  <c r="F42" i="1"/>
  <c r="G43" i="1" s="1"/>
  <c r="F43" i="1"/>
  <c r="G44" i="1" s="1"/>
  <c r="F44" i="1"/>
  <c r="G45" i="1" s="1"/>
  <c r="F45" i="1"/>
  <c r="G46" i="1" s="1"/>
  <c r="F46" i="1"/>
  <c r="I46" i="1" s="1"/>
  <c r="F47" i="1"/>
  <c r="I47" i="1" s="1"/>
  <c r="F48" i="1"/>
  <c r="I48" i="1" s="1"/>
  <c r="F49" i="1"/>
  <c r="G50" i="1" s="1"/>
  <c r="F50" i="1"/>
  <c r="G51" i="1" s="1"/>
  <c r="F51" i="1"/>
  <c r="G52" i="1" s="1"/>
  <c r="F52" i="1"/>
  <c r="G53" i="1" s="1"/>
  <c r="F53" i="1"/>
  <c r="G54" i="1" s="1"/>
  <c r="F54" i="1"/>
  <c r="G55" i="1" s="1"/>
  <c r="F55" i="1"/>
  <c r="G56" i="1" s="1"/>
  <c r="F56" i="1"/>
  <c r="G57" i="1" s="1"/>
  <c r="F57" i="1"/>
  <c r="H57" i="1" s="1"/>
  <c r="F58" i="1"/>
  <c r="H58" i="1" s="1"/>
  <c r="F59" i="1"/>
  <c r="H59" i="1" s="1"/>
  <c r="F60" i="1"/>
  <c r="G61" i="1" s="1"/>
  <c r="F61" i="1"/>
  <c r="G62" i="1" s="1"/>
  <c r="F62" i="1"/>
  <c r="G63" i="1" s="1"/>
  <c r="F63" i="1"/>
  <c r="G64" i="1" s="1"/>
  <c r="F64" i="1"/>
  <c r="G65" i="1" s="1"/>
  <c r="F65" i="1"/>
  <c r="G66" i="1" s="1"/>
  <c r="F66" i="1"/>
  <c r="G67" i="1" s="1"/>
  <c r="F67" i="1"/>
  <c r="G68" i="1" s="1"/>
  <c r="F68" i="1"/>
  <c r="G69" i="1" s="1"/>
  <c r="F69" i="1"/>
  <c r="G70" i="1" s="1"/>
  <c r="F70" i="1"/>
  <c r="I70" i="1" s="1"/>
  <c r="F71" i="1"/>
  <c r="I71" i="1" s="1"/>
  <c r="F72" i="1"/>
  <c r="I72" i="1" s="1"/>
  <c r="F73" i="1"/>
  <c r="I73" i="1" s="1"/>
  <c r="F74" i="1"/>
  <c r="H74" i="1" s="1"/>
  <c r="F75" i="1"/>
  <c r="G76" i="1" s="1"/>
  <c r="F76" i="1"/>
  <c r="G77" i="1" s="1"/>
  <c r="F78" i="1"/>
  <c r="G79" i="1" s="1"/>
  <c r="F79" i="1"/>
  <c r="H79" i="1" s="1"/>
  <c r="F80" i="1"/>
  <c r="G81" i="1" s="1"/>
  <c r="F81" i="1"/>
  <c r="G82" i="1" s="1"/>
  <c r="F82" i="1"/>
  <c r="G83" i="1" s="1"/>
  <c r="F83" i="1"/>
  <c r="G84" i="1" s="1"/>
  <c r="F84" i="1"/>
  <c r="G85" i="1" s="1"/>
  <c r="F85" i="1"/>
  <c r="G86" i="1" s="1"/>
  <c r="F86" i="1"/>
  <c r="G87" i="1" s="1"/>
  <c r="F87" i="1"/>
  <c r="G88" i="1" s="1"/>
  <c r="F88" i="1"/>
  <c r="G89" i="1" s="1"/>
  <c r="F91" i="1"/>
  <c r="G92" i="1" s="1"/>
  <c r="F92" i="1"/>
  <c r="G93" i="1" s="1"/>
  <c r="F93" i="1"/>
  <c r="G94" i="1" s="1"/>
  <c r="F94" i="1"/>
  <c r="H94" i="1" s="1"/>
  <c r="F95" i="1"/>
  <c r="H95" i="1" s="1"/>
  <c r="F96" i="1"/>
  <c r="G97" i="1" s="1"/>
  <c r="F97" i="1"/>
  <c r="G98" i="1" s="1"/>
  <c r="F98" i="1"/>
  <c r="G99" i="1" s="1"/>
  <c r="F100" i="1"/>
  <c r="G101" i="1" s="1"/>
  <c r="F103" i="1"/>
  <c r="G104" i="1" s="1"/>
  <c r="F104" i="1"/>
  <c r="G105" i="1" s="1"/>
  <c r="F105" i="1"/>
  <c r="G106" i="1" s="1"/>
  <c r="F106" i="1"/>
  <c r="G107" i="1" s="1"/>
  <c r="F107" i="1"/>
  <c r="G108" i="1" s="1"/>
  <c r="F108" i="1"/>
  <c r="H108" i="1" s="1"/>
  <c r="F109" i="1"/>
  <c r="G110" i="1" s="1"/>
  <c r="F110" i="1"/>
  <c r="H110" i="1" s="1"/>
  <c r="F111" i="1"/>
  <c r="G112" i="1" s="1"/>
  <c r="F112" i="1"/>
  <c r="G113" i="1" s="1"/>
  <c r="F113" i="1"/>
  <c r="G114" i="1" s="1"/>
  <c r="F114" i="1"/>
  <c r="G115" i="1" s="1"/>
  <c r="F115" i="1"/>
  <c r="G116" i="1" s="1"/>
  <c r="F116" i="1"/>
  <c r="G117" i="1" s="1"/>
  <c r="F117" i="1"/>
  <c r="G118" i="1" s="1"/>
  <c r="F118" i="1"/>
  <c r="G119" i="1" s="1"/>
  <c r="F119" i="1"/>
  <c r="G120" i="1" s="1"/>
  <c r="F120" i="1"/>
  <c r="G121" i="1" s="1"/>
  <c r="F121" i="1"/>
  <c r="G122" i="1" s="1"/>
  <c r="F122" i="1"/>
  <c r="H122" i="1" s="1"/>
  <c r="F123" i="1"/>
  <c r="G124" i="1" s="1"/>
  <c r="F124" i="1"/>
  <c r="G125" i="1" s="1"/>
  <c r="F125" i="1"/>
  <c r="H125" i="1" s="1"/>
  <c r="F126" i="1"/>
  <c r="G127" i="1" s="1"/>
  <c r="F127" i="1"/>
  <c r="G128" i="1" s="1"/>
  <c r="F128" i="1"/>
  <c r="G129" i="1" s="1"/>
  <c r="F129" i="1"/>
  <c r="G130" i="1" s="1"/>
  <c r="F130" i="1"/>
  <c r="G131" i="1" s="1"/>
  <c r="F131" i="1"/>
  <c r="G132" i="1" s="1"/>
  <c r="F132" i="1"/>
  <c r="H132" i="1" s="1"/>
  <c r="F16" i="1"/>
  <c r="G17" i="1" s="1"/>
  <c r="F17" i="1"/>
  <c r="G18" i="1" s="1"/>
  <c r="F18" i="1"/>
  <c r="G19" i="1" s="1"/>
  <c r="F14" i="1"/>
  <c r="G15" i="1" s="1"/>
  <c r="G36" i="1" l="1"/>
  <c r="H23" i="1"/>
  <c r="H60" i="1"/>
  <c r="H24" i="1"/>
  <c r="I101" i="1"/>
  <c r="I100" i="1"/>
  <c r="I98" i="1"/>
  <c r="I85" i="1"/>
  <c r="G126" i="1"/>
  <c r="I79" i="1"/>
  <c r="I78" i="1"/>
  <c r="H84" i="1"/>
  <c r="I52" i="1"/>
  <c r="H73" i="1"/>
  <c r="I51" i="1"/>
  <c r="H62" i="1"/>
  <c r="I15" i="1"/>
  <c r="I77" i="1"/>
  <c r="I41" i="1"/>
  <c r="H61" i="1"/>
  <c r="I99" i="1"/>
  <c r="I76" i="1"/>
  <c r="I40" i="1"/>
  <c r="I42" i="1"/>
  <c r="I75" i="1"/>
  <c r="I93" i="1"/>
  <c r="G80" i="1"/>
  <c r="H49" i="1"/>
  <c r="I92" i="1"/>
  <c r="H48" i="1"/>
  <c r="I28" i="1"/>
  <c r="G60" i="1"/>
  <c r="H47" i="1"/>
  <c r="I88" i="1"/>
  <c r="I63" i="1"/>
  <c r="I27" i="1"/>
  <c r="I30" i="1"/>
  <c r="I29" i="1"/>
  <c r="G74" i="1"/>
  <c r="I64" i="1"/>
  <c r="G49" i="1"/>
  <c r="H36" i="1"/>
  <c r="I87" i="1"/>
  <c r="I54" i="1"/>
  <c r="I25" i="1"/>
  <c r="I39" i="1"/>
  <c r="G109" i="1"/>
  <c r="H50" i="1"/>
  <c r="I66" i="1"/>
  <c r="I65" i="1"/>
  <c r="I91" i="1"/>
  <c r="G48" i="1"/>
  <c r="H35" i="1"/>
  <c r="I86" i="1"/>
  <c r="I53" i="1"/>
  <c r="I16" i="1"/>
  <c r="I124" i="1"/>
  <c r="G75" i="1"/>
  <c r="H14" i="1"/>
  <c r="I122" i="1"/>
  <c r="I110" i="1"/>
  <c r="I74" i="1"/>
  <c r="I62" i="1"/>
  <c r="I50" i="1"/>
  <c r="I38" i="1"/>
  <c r="I26" i="1"/>
  <c r="H83" i="1"/>
  <c r="I37" i="1"/>
  <c r="I24" i="1"/>
  <c r="I111" i="1"/>
  <c r="I14" i="1"/>
  <c r="I109" i="1"/>
  <c r="I49" i="1"/>
  <c r="G73" i="1"/>
  <c r="H72" i="1"/>
  <c r="H46" i="1"/>
  <c r="I120" i="1"/>
  <c r="I84" i="1"/>
  <c r="I36" i="1"/>
  <c r="G72" i="1"/>
  <c r="G34" i="1"/>
  <c r="H71" i="1"/>
  <c r="H38" i="1"/>
  <c r="I131" i="1"/>
  <c r="I119" i="1"/>
  <c r="I107" i="1"/>
  <c r="I95" i="1"/>
  <c r="I83" i="1"/>
  <c r="I59" i="1"/>
  <c r="I23" i="1"/>
  <c r="I123" i="1"/>
  <c r="G47" i="1"/>
  <c r="I121" i="1"/>
  <c r="I97" i="1"/>
  <c r="I61" i="1"/>
  <c r="G35" i="1"/>
  <c r="I132" i="1"/>
  <c r="I108" i="1"/>
  <c r="I96" i="1"/>
  <c r="I60" i="1"/>
  <c r="G71" i="1"/>
  <c r="H98" i="1"/>
  <c r="H70" i="1"/>
  <c r="H37" i="1"/>
  <c r="I130" i="1"/>
  <c r="I118" i="1"/>
  <c r="I106" i="1"/>
  <c r="I94" i="1"/>
  <c r="I82" i="1"/>
  <c r="I58" i="1"/>
  <c r="I34" i="1"/>
  <c r="I22" i="1"/>
  <c r="I129" i="1"/>
  <c r="I117" i="1"/>
  <c r="I105" i="1"/>
  <c r="I81" i="1"/>
  <c r="I69" i="1"/>
  <c r="I57" i="1"/>
  <c r="I45" i="1"/>
  <c r="I33" i="1"/>
  <c r="I21" i="1"/>
  <c r="I112" i="1"/>
  <c r="G59" i="1"/>
  <c r="H96" i="1"/>
  <c r="I116" i="1"/>
  <c r="I104" i="1"/>
  <c r="I80" i="1"/>
  <c r="I56" i="1"/>
  <c r="I20" i="1"/>
  <c r="I127" i="1"/>
  <c r="I115" i="1"/>
  <c r="I103" i="1"/>
  <c r="I67" i="1"/>
  <c r="I55" i="1"/>
  <c r="I43" i="1"/>
  <c r="I31" i="1"/>
  <c r="I19" i="1"/>
  <c r="H86" i="1"/>
  <c r="H26" i="1"/>
  <c r="I126" i="1"/>
  <c r="I114" i="1"/>
  <c r="I90" i="1"/>
  <c r="I18" i="1"/>
  <c r="H97" i="1"/>
  <c r="I128" i="1"/>
  <c r="I68" i="1"/>
  <c r="I44" i="1"/>
  <c r="I32" i="1"/>
  <c r="G58" i="1"/>
  <c r="H87" i="1"/>
  <c r="H85" i="1"/>
  <c r="H25" i="1"/>
  <c r="I125" i="1"/>
  <c r="I113" i="1"/>
  <c r="I17" i="1"/>
  <c r="H121" i="1"/>
  <c r="H120" i="1"/>
  <c r="H131" i="1"/>
  <c r="H22" i="1"/>
  <c r="G96" i="1"/>
  <c r="H129" i="1"/>
  <c r="H117" i="1"/>
  <c r="H105" i="1"/>
  <c r="H93" i="1"/>
  <c r="H81" i="1"/>
  <c r="H69" i="1"/>
  <c r="H45" i="1"/>
  <c r="H21" i="1"/>
  <c r="H106" i="1"/>
  <c r="G95" i="1"/>
  <c r="H128" i="1"/>
  <c r="H116" i="1"/>
  <c r="H104" i="1"/>
  <c r="H92" i="1"/>
  <c r="H80" i="1"/>
  <c r="H68" i="1"/>
  <c r="H56" i="1"/>
  <c r="H44" i="1"/>
  <c r="H32" i="1"/>
  <c r="H20" i="1"/>
  <c r="H109" i="1"/>
  <c r="H119" i="1"/>
  <c r="H107" i="1"/>
  <c r="H130" i="1"/>
  <c r="G123" i="1"/>
  <c r="H127" i="1"/>
  <c r="H115" i="1"/>
  <c r="H103" i="1"/>
  <c r="H91" i="1"/>
  <c r="H67" i="1"/>
  <c r="H55" i="1"/>
  <c r="H43" i="1"/>
  <c r="H31" i="1"/>
  <c r="H19" i="1"/>
  <c r="H82" i="1"/>
  <c r="H126" i="1"/>
  <c r="H114" i="1"/>
  <c r="H90" i="1"/>
  <c r="H78" i="1"/>
  <c r="H66" i="1"/>
  <c r="H54" i="1"/>
  <c r="H42" i="1"/>
  <c r="H30" i="1"/>
  <c r="H18" i="1"/>
  <c r="H118" i="1"/>
  <c r="H113" i="1"/>
  <c r="H101" i="1"/>
  <c r="H77" i="1"/>
  <c r="H65" i="1"/>
  <c r="H53" i="1"/>
  <c r="H41" i="1"/>
  <c r="H29" i="1"/>
  <c r="H17" i="1"/>
  <c r="H124" i="1"/>
  <c r="H112" i="1"/>
  <c r="H100" i="1"/>
  <c r="H88" i="1"/>
  <c r="H76" i="1"/>
  <c r="H64" i="1"/>
  <c r="H52" i="1"/>
  <c r="H40" i="1"/>
  <c r="H28" i="1"/>
  <c r="H16" i="1"/>
  <c r="G111" i="1"/>
  <c r="H123" i="1"/>
  <c r="H111" i="1"/>
  <c r="H99" i="1"/>
  <c r="H75" i="1"/>
  <c r="H63" i="1"/>
  <c r="H51" i="1"/>
  <c r="H39" i="1"/>
  <c r="H27" i="1"/>
  <c r="H15" i="1"/>
  <c r="F102" i="1"/>
  <c r="I102" i="1" s="1"/>
  <c r="F89" i="1"/>
  <c r="I89" i="1" s="1"/>
  <c r="L15" i="1" l="1"/>
  <c r="L16" i="1"/>
  <c r="J18" i="1"/>
  <c r="G90" i="1"/>
  <c r="H89" i="1"/>
  <c r="G103" i="1"/>
  <c r="H102" i="1"/>
  <c r="M15" i="1" l="1" a="1"/>
  <c r="M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<sst xmlns="http://schemas.openxmlformats.org/spreadsheetml/2006/main" count="99" uniqueCount="49">
  <si>
    <t>Date</t>
  </si>
  <si>
    <t>Repo_Rate</t>
  </si>
  <si>
    <t>NIFTY_Close</t>
  </si>
  <si>
    <t>N/A</t>
  </si>
  <si>
    <t>CPI</t>
  </si>
  <si>
    <t>Inflation</t>
  </si>
  <si>
    <t xml:space="preserve">NIFTY_Returns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</si>
  <si>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</si>
  <si>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</si>
  <si>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</si>
  <si>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</si>
  <si>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</si>
  <si>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</si>
  <si>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</si>
  <si>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</si>
  <si>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</si>
  <si>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</si>
  <si>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</si>
  <si>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</si>
  <si>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</si>
  <si>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</si>
  <si>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</si>
  <si>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</si>
  <si>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</si>
  <si>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</si>
  <si>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</si>
  <si>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</si>
  <si>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</si>
  <si>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</si>
  <si>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</si>
  <si>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</si>
  <si>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</si>
  <si>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</si>
  <si>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Inflation &amp; Repo rate - Line Chart</t>
  </si>
  <si>
    <t>NIFTY RETURNS LINE CHART</t>
  </si>
  <si>
    <t>Zero_Line</t>
  </si>
  <si>
    <t>Scatter Plot (Inflation vs Returns)</t>
  </si>
  <si>
    <t>Scatter Plot (Repo Rate vs Returns)</t>
  </si>
  <si>
    <t>Lagged_inflation</t>
  </si>
  <si>
    <t>Real Rate</t>
  </si>
  <si>
    <t>Inflation Regime</t>
  </si>
  <si>
    <t>Count</t>
  </si>
  <si>
    <t>Avg Nifty Return(%)</t>
  </si>
  <si>
    <t>Volatility (Std Dev)</t>
  </si>
  <si>
    <t>NORMAL</t>
  </si>
  <si>
    <t>Regime Label</t>
  </si>
  <si>
    <t>HIGH</t>
  </si>
  <si>
    <t>SUMMARY STATS</t>
  </si>
  <si>
    <t>CORRELATION BETWEEN INFLATION AND MARKET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</si>
</sst>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7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7" borderId="0" xfId="0" applyFont="1" applyFill="1" applyAlignment="1">
      <alignment horizontal="right"/>
    </xf>
    <xf numFmtId="0" fontId="2" fillId="7" borderId="0" xfId="0" applyFont="1" applyFill="1" applyAlignment="1">
      <alignment horizontal="center"/>
    </xf>
    <xf numFmtId="0" fontId="0" fillId="11" borderId="0" xfId="0" applyFill="1" applyAlignment="1">
      <alignment horizontal="right"/>
    </xf>
    <xf numFmtId="0" fontId="0" fillId="11" borderId="0" xfId="0" applyFill="1"/>
    <xf numFmtId="0" fontId="0" fillId="13" borderId="0" xfId="0" applyFill="1"/>
    <xf numFmtId="0" fontId="2" fillId="12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Nifty</a:t>
            </a:r>
            <a:r>
              <a:rPr lang="en-US" sz="1200" b="1" baseline="0"/>
              <a:t> Performance &amp; Volatility by Inflation Regime</a:t>
            </a:r>
          </a:p>
          <a:p>
            <a:pPr algn="r">
              <a:defRPr/>
            </a:pPr>
            <a:r>
              <a:rPr lang="en-US" sz="700" b="1" baseline="0">
                <a:solidFill>
                  <a:srgbClr val="C00000"/>
                </a:solidFill>
              </a:rPr>
              <a:t>*descriptive comparison</a:t>
            </a:r>
            <a:endParaRPr lang="en-US" sz="700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data!$J$15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data!$K$14:$M$14</c15:sqref>
                  </c15:fullRef>
                </c:ext>
              </c:extLst>
              <c:f>data!$L$14:$M$14</c:f>
              <c:strCache>
                <c:ptCount val="2"/>
                <c:pt idx="0">
                  <c:v>Avg Nifty Return(%)</c:v>
                </c:pt>
                <c:pt idx="1">
                  <c:v>Volatility (Std Dev)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data!$K$15:$M$15</c15:sqref>
                  </c15:fullRef>
                </c:ext>
              </c:extLst>
              <c:f>data!$L$15:$M$15</c:f>
              <c:numCache>
                <c:formatCode>General</c:formatCode>
                <c:ptCount val="2"/>
                <c:pt idx="0">
                  <c:v>0.82989840559550054</c:v>
                </c:pt>
                <c:pt idx="1">
                  <c:v>4.8298708223757369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E-4D6A-A7B9-5E00D58D24CB}"/>
            </c:ext>
          </c:extLst>
        </c:ser>
        <c:ser>
          <c:idx val="1"/>
          <c:order val="1"/>
          <c:tx>
            <c:strRef>
              <c:f>data!$J$16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data!$K$14:$M$14</c15:sqref>
                  </c15:fullRef>
                </c:ext>
              </c:extLst>
              <c:f>data!$L$14:$M$14</c:f>
              <c:strCache>
                <c:ptCount val="2"/>
                <c:pt idx="0">
                  <c:v>Avg Nifty Return(%)</c:v>
                </c:pt>
                <c:pt idx="1">
                  <c:v>Volatility (Std Dev)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data!$K$16:$M$16</c15:sqref>
                  </c15:fullRef>
                </c:ext>
              </c:extLst>
              <c:f>data!$L$16:$M$16</c:f>
              <c:numCache>
                <c:formatCode>General</c:formatCode>
                <c:ptCount val="2"/>
                <c:pt idx="0">
                  <c:v>1.6979894098904795</c:v>
                </c:pt>
                <c:pt idx="1">
                  <c:v>4.4904869823033025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E-4D6A-A7B9-5E00D58D2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8788896"/>
        <c:axId val="1908772576"/>
      </c:barChart>
      <c:catAx>
        <c:axId val="190878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772576"/>
        <c:crosses val="autoZero"/>
        <c:auto val="1"/>
        <c:lblAlgn val="ctr"/>
        <c:lblOffset val="100"/>
        <c:noMultiLvlLbl val="0"/>
      </c:catAx>
      <c:valAx>
        <c:axId val="190877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788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Inflation</a:t>
            </a:r>
            <a:r>
              <a:rPr lang="en-US" sz="1100" b="1" baseline="0"/>
              <a:t> and Repo Rate in India (Jan 2013- Nov 2023)</a:t>
            </a:r>
            <a:endParaRPr lang="en-US" sz="1100" b="1"/>
          </a:p>
        </c:rich>
      </c:tx>
      <c:layout>
        <c:manualLayout>
          <c:xMode val="edge"/>
          <c:yMode val="edge"/>
          <c:x val="0.138972222222222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Inflation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data!$A$14:$A$132</c:f>
              <c:numCache>
                <c:formatCode>mmm\-yy</c:formatCode>
                <c:ptCount val="119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</c:numCache>
            </c:numRef>
          </c:cat>
          <c:val>
            <c:numRef>
              <c:f>data!$F$14:$F$132</c:f>
              <c:numCache>
                <c:formatCode>General</c:formatCode>
                <c:ptCount val="119"/>
                <c:pt idx="0">
                  <c:v>8.6042065009560229</c:v>
                </c:pt>
                <c:pt idx="1">
                  <c:v>7.8822412155745463</c:v>
                </c:pt>
                <c:pt idx="2">
                  <c:v>8.2464454976303347</c:v>
                </c:pt>
                <c:pt idx="3">
                  <c:v>8.482563619227145</c:v>
                </c:pt>
                <c:pt idx="4">
                  <c:v>8.3255378858746418</c:v>
                </c:pt>
                <c:pt idx="5">
                  <c:v>6.7703568161024759</c:v>
                </c:pt>
                <c:pt idx="6">
                  <c:v>7.3873873873873901</c:v>
                </c:pt>
                <c:pt idx="7">
                  <c:v>7.0284697508896725</c:v>
                </c:pt>
                <c:pt idx="8">
                  <c:v>5.6288478452066766</c:v>
                </c:pt>
                <c:pt idx="9">
                  <c:v>4.6167247386759556</c:v>
                </c:pt>
                <c:pt idx="10">
                  <c:v>3.2674118658641422</c:v>
                </c:pt>
                <c:pt idx="11">
                  <c:v>4.2794759825327562</c:v>
                </c:pt>
                <c:pt idx="12">
                  <c:v>5.1936619718309913</c:v>
                </c:pt>
                <c:pt idx="13">
                  <c:v>5.369718309859163</c:v>
                </c:pt>
                <c:pt idx="14">
                  <c:v>5.2539404553415059</c:v>
                </c:pt>
                <c:pt idx="15">
                  <c:v>4.8653344917463155</c:v>
                </c:pt>
                <c:pt idx="16">
                  <c:v>5.0086355785837631</c:v>
                </c:pt>
                <c:pt idx="17">
                  <c:v>5.3984575835475548</c:v>
                </c:pt>
                <c:pt idx="18">
                  <c:v>3.6912751677852276</c:v>
                </c:pt>
                <c:pt idx="19">
                  <c:v>3.7406483790523692</c:v>
                </c:pt>
                <c:pt idx="20">
                  <c:v>4.4129891756869366</c:v>
                </c:pt>
                <c:pt idx="21">
                  <c:v>4.9958368026644466</c:v>
                </c:pt>
                <c:pt idx="22">
                  <c:v>5.4121565362198174</c:v>
                </c:pt>
                <c:pt idx="23">
                  <c:v>5.6113902847571087</c:v>
                </c:pt>
                <c:pt idx="24">
                  <c:v>5.690376569037654</c:v>
                </c:pt>
                <c:pt idx="25">
                  <c:v>5.2631578947368398</c:v>
                </c:pt>
                <c:pt idx="26">
                  <c:v>4.8252911813643902</c:v>
                </c:pt>
                <c:pt idx="27">
                  <c:v>5.4681027340513628</c:v>
                </c:pt>
                <c:pt idx="28">
                  <c:v>5.7565789473684212</c:v>
                </c:pt>
                <c:pt idx="29">
                  <c:v>5.7723577235772305</c:v>
                </c:pt>
                <c:pt idx="30">
                  <c:v>6.0679611650485441</c:v>
                </c:pt>
                <c:pt idx="31">
                  <c:v>5.0480769230769207</c:v>
                </c:pt>
                <c:pt idx="32">
                  <c:v>4.3859649122807012</c:v>
                </c:pt>
                <c:pt idx="33">
                  <c:v>4.2030134813640059</c:v>
                </c:pt>
                <c:pt idx="34">
                  <c:v>3.6334913112164253</c:v>
                </c:pt>
                <c:pt idx="35">
                  <c:v>3.4099920697858934</c:v>
                </c:pt>
                <c:pt idx="36">
                  <c:v>3.1670625494853639</c:v>
                </c:pt>
                <c:pt idx="37">
                  <c:v>3.6507936507936463</c:v>
                </c:pt>
                <c:pt idx="38">
                  <c:v>3.8888888888888933</c:v>
                </c:pt>
                <c:pt idx="39">
                  <c:v>2.9850746268656696</c:v>
                </c:pt>
                <c:pt idx="40">
                  <c:v>2.1772939346811913</c:v>
                </c:pt>
                <c:pt idx="41">
                  <c:v>1.4604150653343626</c:v>
                </c:pt>
                <c:pt idx="42">
                  <c:v>2.3646071700991569</c:v>
                </c:pt>
                <c:pt idx="43">
                  <c:v>3.2799389778794903</c:v>
                </c:pt>
                <c:pt idx="44">
                  <c:v>3.2849503437738599</c:v>
                </c:pt>
                <c:pt idx="45">
                  <c:v>3.5768645357686371</c:v>
                </c:pt>
                <c:pt idx="46">
                  <c:v>4.8780487804878101</c:v>
                </c:pt>
                <c:pt idx="47">
                  <c:v>5.2147239263803549</c:v>
                </c:pt>
                <c:pt idx="48">
                  <c:v>5.0652340752110465</c:v>
                </c:pt>
                <c:pt idx="49">
                  <c:v>4.4410413476263493</c:v>
                </c:pt>
                <c:pt idx="50">
                  <c:v>4.2780748663101562</c:v>
                </c:pt>
                <c:pt idx="51">
                  <c:v>4.5766590389016022</c:v>
                </c:pt>
                <c:pt idx="52">
                  <c:v>4.8706240487062447</c:v>
                </c:pt>
                <c:pt idx="53">
                  <c:v>4.9242424242424239</c:v>
                </c:pt>
                <c:pt idx="54">
                  <c:v>4.1728763040238617</c:v>
                </c:pt>
                <c:pt idx="55">
                  <c:v>3.6927621861152145</c:v>
                </c:pt>
                <c:pt idx="56">
                  <c:v>3.6982248520710059</c:v>
                </c:pt>
                <c:pt idx="57">
                  <c:v>3.4533431300514459</c:v>
                </c:pt>
                <c:pt idx="58">
                  <c:v>2.3255813953488498</c:v>
                </c:pt>
                <c:pt idx="59">
                  <c:v>2.1137026239067098</c:v>
                </c:pt>
                <c:pt idx="60">
                  <c:v>1.972242512783045</c:v>
                </c:pt>
                <c:pt idx="61">
                  <c:v>2.5659824046920821</c:v>
                </c:pt>
                <c:pt idx="62">
                  <c:v>2.8571428571428612</c:v>
                </c:pt>
                <c:pt idx="63">
                  <c:v>2.9905178701677566</c:v>
                </c:pt>
                <c:pt idx="64">
                  <c:v>3.0478955007256809</c:v>
                </c:pt>
                <c:pt idx="65">
                  <c:v>3.1768953068592101</c:v>
                </c:pt>
                <c:pt idx="66">
                  <c:v>3.14735336194562</c:v>
                </c:pt>
                <c:pt idx="67">
                  <c:v>3.2763532763532721</c:v>
                </c:pt>
                <c:pt idx="68">
                  <c:v>3.9942938659058651</c:v>
                </c:pt>
                <c:pt idx="69">
                  <c:v>4.545454545454529</c:v>
                </c:pt>
                <c:pt idx="70">
                  <c:v>5.5397727272727151</c:v>
                </c:pt>
                <c:pt idx="71">
                  <c:v>7.3518915060671031</c:v>
                </c:pt>
                <c:pt idx="72">
                  <c:v>7.5931232091690504</c:v>
                </c:pt>
                <c:pt idx="73">
                  <c:v>6.5761258041458106</c:v>
                </c:pt>
                <c:pt idx="74">
                  <c:v>5.8404558404558315</c:v>
                </c:pt>
                <c:pt idx="75">
                  <c:v>5.9962228517469329</c:v>
                </c:pt>
                <c:pt idx="76">
                  <c:v>6.1502347417840486</c:v>
                </c:pt>
                <c:pt idx="77">
                  <c:v>6.2281315605318444</c:v>
                </c:pt>
                <c:pt idx="78">
                  <c:v>5.27045769764218</c:v>
                </c:pt>
                <c:pt idx="79">
                  <c:v>6.1379310344827624</c:v>
                </c:pt>
                <c:pt idx="80">
                  <c:v>6.1042524005486802</c:v>
                </c:pt>
                <c:pt idx="81">
                  <c:v>6.2500000000000124</c:v>
                </c:pt>
                <c:pt idx="82">
                  <c:v>6.594885598923292</c:v>
                </c:pt>
                <c:pt idx="83">
                  <c:v>5.6515957446808507</c:v>
                </c:pt>
                <c:pt idx="84">
                  <c:v>4.7270306258322385</c:v>
                </c:pt>
                <c:pt idx="85">
                  <c:v>5.0301810865191152</c:v>
                </c:pt>
                <c:pt idx="86">
                  <c:v>5.5181695827725559</c:v>
                </c:pt>
                <c:pt idx="87">
                  <c:v>5.4342984409799699</c:v>
                </c:pt>
                <c:pt idx="88">
                  <c:v>6.4130915524104308</c:v>
                </c:pt>
                <c:pt idx="89">
                  <c:v>6.2582345191040831</c:v>
                </c:pt>
                <c:pt idx="90">
                  <c:v>7.0487483530961708</c:v>
                </c:pt>
                <c:pt idx="91">
                  <c:v>6.0428849902534001</c:v>
                </c:pt>
                <c:pt idx="92">
                  <c:v>5.4945054945054954</c:v>
                </c:pt>
                <c:pt idx="93">
                  <c:v>5.8184143222506357</c:v>
                </c:pt>
                <c:pt idx="94">
                  <c:v>5.239898989898979</c:v>
                </c:pt>
                <c:pt idx="95">
                  <c:v>4.5940843297671385</c:v>
                </c:pt>
                <c:pt idx="96">
                  <c:v>5.3401144310235074</c:v>
                </c:pt>
                <c:pt idx="97">
                  <c:v>6.0664112388250322</c:v>
                </c:pt>
                <c:pt idx="98">
                  <c:v>6.9515306122448823</c:v>
                </c:pt>
                <c:pt idx="99">
                  <c:v>7.7946768060836389</c:v>
                </c:pt>
                <c:pt idx="100">
                  <c:v>7.044887780548617</c:v>
                </c:pt>
                <c:pt idx="101">
                  <c:v>7.0055796652200755</c:v>
                </c:pt>
                <c:pt idx="102">
                  <c:v>6.7076923076923114</c:v>
                </c:pt>
                <c:pt idx="103">
                  <c:v>6.8014705882353086</c:v>
                </c:pt>
                <c:pt idx="104">
                  <c:v>7.4142156862745239</c:v>
                </c:pt>
                <c:pt idx="105">
                  <c:v>6.7673716012084526</c:v>
                </c:pt>
                <c:pt idx="106">
                  <c:v>5.8788242351529769</c:v>
                </c:pt>
                <c:pt idx="107">
                  <c:v>5.7160048134777384</c:v>
                </c:pt>
                <c:pt idx="108">
                  <c:v>6.5178032589016377</c:v>
                </c:pt>
                <c:pt idx="109">
                  <c:v>6.6827212522576733</c:v>
                </c:pt>
                <c:pt idx="110">
                  <c:v>5.6648777579010146</c:v>
                </c:pt>
                <c:pt idx="111">
                  <c:v>4.7031158142269254</c:v>
                </c:pt>
                <c:pt idx="112">
                  <c:v>4.3098427489807838</c:v>
                </c:pt>
                <c:pt idx="113">
                  <c:v>4.8667439165701074</c:v>
                </c:pt>
                <c:pt idx="114">
                  <c:v>7.4394463667820094</c:v>
                </c:pt>
                <c:pt idx="115">
                  <c:v>6.8273092369477775</c:v>
                </c:pt>
                <c:pt idx="116">
                  <c:v>5.0199657729606288</c:v>
                </c:pt>
                <c:pt idx="117">
                  <c:v>4.8670062252405337</c:v>
                </c:pt>
                <c:pt idx="118">
                  <c:v>5.552407932011338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6-4A55-B52A-61B9A4EF78A3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Repo_Rate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data!$A$14:$A$132</c:f>
              <c:numCache>
                <c:formatCode>mmm\-yy</c:formatCode>
                <c:ptCount val="119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</c:numCache>
            </c:numRef>
          </c:cat>
          <c:val>
            <c:numRef>
              <c:f>data!$E$14:$E$132</c:f>
              <c:numCache>
                <c:formatCode>General</c:formatCode>
                <c:ptCount val="119"/>
                <c:pt idx="0">
                  <c:v>7.75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7.75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7.25</c:v>
                </c:pt>
                <c:pt idx="18">
                  <c:v>7.25</c:v>
                </c:pt>
                <c:pt idx="19">
                  <c:v>7.25</c:v>
                </c:pt>
                <c:pt idx="20">
                  <c:v>7.25</c:v>
                </c:pt>
                <c:pt idx="21">
                  <c:v>6.75</c:v>
                </c:pt>
                <c:pt idx="22">
                  <c:v>6.75</c:v>
                </c:pt>
                <c:pt idx="23">
                  <c:v>6.75</c:v>
                </c:pt>
                <c:pt idx="24">
                  <c:v>6.75</c:v>
                </c:pt>
                <c:pt idx="25">
                  <c:v>6.75</c:v>
                </c:pt>
                <c:pt idx="26">
                  <c:v>6.75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6.25</c:v>
                </c:pt>
                <c:pt idx="34">
                  <c:v>6.25</c:v>
                </c:pt>
                <c:pt idx="35">
                  <c:v>6.25</c:v>
                </c:pt>
                <c:pt idx="36">
                  <c:v>6.25</c:v>
                </c:pt>
                <c:pt idx="37">
                  <c:v>6.25</c:v>
                </c:pt>
                <c:pt idx="38">
                  <c:v>6.25</c:v>
                </c:pt>
                <c:pt idx="39">
                  <c:v>6.25</c:v>
                </c:pt>
                <c:pt idx="40">
                  <c:v>6.25</c:v>
                </c:pt>
                <c:pt idx="41">
                  <c:v>6.25</c:v>
                </c:pt>
                <c:pt idx="42">
                  <c:v>6.25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6.25</c:v>
                </c:pt>
                <c:pt idx="54">
                  <c:v>6.25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6.25</c:v>
                </c:pt>
                <c:pt idx="62">
                  <c:v>6.25</c:v>
                </c:pt>
                <c:pt idx="63">
                  <c:v>6</c:v>
                </c:pt>
                <c:pt idx="64">
                  <c:v>6</c:v>
                </c:pt>
                <c:pt idx="65">
                  <c:v>5.75</c:v>
                </c:pt>
                <c:pt idx="66">
                  <c:v>5.75</c:v>
                </c:pt>
                <c:pt idx="67">
                  <c:v>5.4</c:v>
                </c:pt>
                <c:pt idx="68">
                  <c:v>5.4</c:v>
                </c:pt>
                <c:pt idx="69">
                  <c:v>5.15</c:v>
                </c:pt>
                <c:pt idx="70">
                  <c:v>5.15</c:v>
                </c:pt>
                <c:pt idx="71">
                  <c:v>5.15</c:v>
                </c:pt>
                <c:pt idx="72">
                  <c:v>5.15</c:v>
                </c:pt>
                <c:pt idx="73">
                  <c:v>5.15</c:v>
                </c:pt>
                <c:pt idx="74">
                  <c:v>5.15</c:v>
                </c:pt>
                <c:pt idx="75">
                  <c:v>4.4000000000000004</c:v>
                </c:pt>
                <c:pt idx="76">
                  <c:v>4.4000000000000004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4.4000000000000004</c:v>
                </c:pt>
                <c:pt idx="101">
                  <c:v>4.9000000000000004</c:v>
                </c:pt>
                <c:pt idx="102">
                  <c:v>4.9000000000000004</c:v>
                </c:pt>
                <c:pt idx="103">
                  <c:v>5.4</c:v>
                </c:pt>
                <c:pt idx="104">
                  <c:v>5.4</c:v>
                </c:pt>
                <c:pt idx="105">
                  <c:v>5.9</c:v>
                </c:pt>
                <c:pt idx="106">
                  <c:v>5.9</c:v>
                </c:pt>
                <c:pt idx="107">
                  <c:v>6.25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  <c:pt idx="116">
                  <c:v>6.5</c:v>
                </c:pt>
                <c:pt idx="117">
                  <c:v>6.5</c:v>
                </c:pt>
                <c:pt idx="118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56-4A55-B52A-61B9A4EF7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60688"/>
        <c:axId val="1317557328"/>
      </c:lineChart>
      <c:dateAx>
        <c:axId val="131756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(Monthly)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57328"/>
        <c:crosses val="autoZero"/>
        <c:auto val="1"/>
        <c:lblOffset val="100"/>
        <c:baseTimeUnit val="months"/>
      </c:dateAx>
      <c:valAx>
        <c:axId val="131755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Percentage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6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Monthly</a:t>
            </a:r>
            <a:r>
              <a:rPr lang="en-US" sz="1100" baseline="0"/>
              <a:t> NIFTY Returns (%)</a:t>
            </a:r>
            <a:r>
              <a:rPr lang="en-US" sz="1100"/>
              <a:t> </a:t>
            </a:r>
          </a:p>
        </c:rich>
      </c:tx>
      <c:layout>
        <c:manualLayout>
          <c:xMode val="edge"/>
          <c:yMode val="edge"/>
          <c:x val="0.2738818897637794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NIFTY_Returns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data!$A$14:$A$132</c:f>
              <c:numCache>
                <c:formatCode>mmm\-yy</c:formatCode>
                <c:ptCount val="119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</c:numCache>
            </c:numRef>
          </c:cat>
          <c:val>
            <c:numRef>
              <c:f>data!$D$14:$D$132</c:f>
              <c:numCache>
                <c:formatCode>General</c:formatCode>
                <c:ptCount val="119"/>
                <c:pt idx="0">
                  <c:v>-3.4026015228426396</c:v>
                </c:pt>
                <c:pt idx="1">
                  <c:v>3.0782494457673013</c:v>
                </c:pt>
                <c:pt idx="2">
                  <c:v>6.8066497263798498</c:v>
                </c:pt>
                <c:pt idx="3">
                  <c:v>-0.11634497777512877</c:v>
                </c:pt>
                <c:pt idx="4">
                  <c:v>7.9677139955797172</c:v>
                </c:pt>
                <c:pt idx="5">
                  <c:v>5.2752785288971644</c:v>
                </c:pt>
                <c:pt idx="6">
                  <c:v>1.4445532001550292</c:v>
                </c:pt>
                <c:pt idx="7">
                  <c:v>3.0182741248235425</c:v>
                </c:pt>
                <c:pt idx="8">
                  <c:v>0.13137465663441789</c:v>
                </c:pt>
                <c:pt idx="9">
                  <c:v>4.4872438730413888</c:v>
                </c:pt>
                <c:pt idx="10">
                  <c:v>3.1968710196822867</c:v>
                </c:pt>
                <c:pt idx="11">
                  <c:v>-3.5577678805344424</c:v>
                </c:pt>
                <c:pt idx="12">
                  <c:v>6.3530008330616683</c:v>
                </c:pt>
                <c:pt idx="13">
                  <c:v>1.0551828264596117</c:v>
                </c:pt>
                <c:pt idx="14">
                  <c:v>-4.6153327679077982</c:v>
                </c:pt>
                <c:pt idx="15">
                  <c:v>-3.6450359203862917</c:v>
                </c:pt>
                <c:pt idx="16">
                  <c:v>3.0819531870683816</c:v>
                </c:pt>
                <c:pt idx="17">
                  <c:v>-0.77250063732784313</c:v>
                </c:pt>
                <c:pt idx="18">
                  <c:v>1.9639122901356321</c:v>
                </c:pt>
                <c:pt idx="19">
                  <c:v>-6.5810368165384379</c:v>
                </c:pt>
                <c:pt idx="20">
                  <c:v>-0.28100811661837521</c:v>
                </c:pt>
                <c:pt idx="21">
                  <c:v>1.4706437368692593</c:v>
                </c:pt>
                <c:pt idx="22">
                  <c:v>-1.6185623248778818</c:v>
                </c:pt>
                <c:pt idx="23">
                  <c:v>0.13988217132415948</c:v>
                </c:pt>
                <c:pt idx="24">
                  <c:v>-4.8173060587565386</c:v>
                </c:pt>
                <c:pt idx="25">
                  <c:v>-7.6220822232946173</c:v>
                </c:pt>
                <c:pt idx="26">
                  <c:v>10.753465339449402</c:v>
                </c:pt>
                <c:pt idx="27">
                  <c:v>1.4395740721596266</c:v>
                </c:pt>
                <c:pt idx="28">
                  <c:v>3.9529669545720929</c:v>
                </c:pt>
                <c:pt idx="29">
                  <c:v>1.5643190647173395</c:v>
                </c:pt>
                <c:pt idx="30">
                  <c:v>4.2321498597327381</c:v>
                </c:pt>
                <c:pt idx="31">
                  <c:v>1.7097875788620791</c:v>
                </c:pt>
                <c:pt idx="32">
                  <c:v>-1.9923288793790386</c:v>
                </c:pt>
                <c:pt idx="33">
                  <c:v>0.16896697885881781</c:v>
                </c:pt>
                <c:pt idx="34">
                  <c:v>-4.6512167128465016</c:v>
                </c:pt>
                <c:pt idx="35">
                  <c:v>-0.47054532190406495</c:v>
                </c:pt>
                <c:pt idx="36">
                  <c:v>4.5872120012704816</c:v>
                </c:pt>
                <c:pt idx="37">
                  <c:v>3.7178933105953669</c:v>
                </c:pt>
                <c:pt idx="38">
                  <c:v>3.3126492184332585</c:v>
                </c:pt>
                <c:pt idx="39">
                  <c:v>1.4203569968660501</c:v>
                </c:pt>
                <c:pt idx="40">
                  <c:v>3.4092680069432211</c:v>
                </c:pt>
                <c:pt idx="41">
                  <c:v>-1.0430037677017057</c:v>
                </c:pt>
                <c:pt idx="42">
                  <c:v>5.8418846957745671</c:v>
                </c:pt>
                <c:pt idx="43">
                  <c:v>-1.5798195909537536</c:v>
                </c:pt>
                <c:pt idx="44">
                  <c:v>-1.3037034049546707</c:v>
                </c:pt>
                <c:pt idx="45">
                  <c:v>5.5850683448092564</c:v>
                </c:pt>
                <c:pt idx="46">
                  <c:v>-1.0522190937853764</c:v>
                </c:pt>
                <c:pt idx="47">
                  <c:v>2.9741212823484116</c:v>
                </c:pt>
                <c:pt idx="48">
                  <c:v>4.7195343139582357</c:v>
                </c:pt>
                <c:pt idx="49">
                  <c:v>-4.8500593958849114</c:v>
                </c:pt>
                <c:pt idx="50">
                  <c:v>-3.6134129430993451</c:v>
                </c:pt>
                <c:pt idx="51">
                  <c:v>6.186163323017289</c:v>
                </c:pt>
                <c:pt idx="52">
                  <c:v>-2.9796961641074437E-2</c:v>
                </c:pt>
                <c:pt idx="53">
                  <c:v>-0.20351802089203638</c:v>
                </c:pt>
                <c:pt idx="54">
                  <c:v>5.9938586748551081</c:v>
                </c:pt>
                <c:pt idx="55">
                  <c:v>2.8529916787742704</c:v>
                </c:pt>
                <c:pt idx="56">
                  <c:v>-6.4213860708017574</c:v>
                </c:pt>
                <c:pt idx="57">
                  <c:v>-4.9755499544849506</c:v>
                </c:pt>
                <c:pt idx="58">
                  <c:v>4.7190610979531282</c:v>
                </c:pt>
                <c:pt idx="59">
                  <c:v>-0.13055370400166161</c:v>
                </c:pt>
                <c:pt idx="60">
                  <c:v>-0.29090775186303902</c:v>
                </c:pt>
                <c:pt idx="61">
                  <c:v>-0.35500117718206364</c:v>
                </c:pt>
                <c:pt idx="62">
                  <c:v>7.7034977993977263</c:v>
                </c:pt>
                <c:pt idx="63">
                  <c:v>1.0689183492631562</c:v>
                </c:pt>
                <c:pt idx="64">
                  <c:v>1.4866170418321152</c:v>
                </c:pt>
                <c:pt idx="65">
                  <c:v>-1.1234777065789825</c:v>
                </c:pt>
                <c:pt idx="66">
                  <c:v>-5.6905465757898384</c:v>
                </c:pt>
                <c:pt idx="67">
                  <c:v>-0.8522216225939917</c:v>
                </c:pt>
                <c:pt idx="68">
                  <c:v>4.0931667158052365</c:v>
                </c:pt>
                <c:pt idx="69">
                  <c:v>3.5121509091939043</c:v>
                </c:pt>
                <c:pt idx="70">
                  <c:v>1.503689765058986</c:v>
                </c:pt>
                <c:pt idx="71">
                  <c:v>0.93231199273395071</c:v>
                </c:pt>
                <c:pt idx="72">
                  <c:v>-1.6957788378963661</c:v>
                </c:pt>
                <c:pt idx="73">
                  <c:v>-6.3563253943705558</c:v>
                </c:pt>
                <c:pt idx="74">
                  <c:v>-23.246367755038275</c:v>
                </c:pt>
                <c:pt idx="75">
                  <c:v>14.680003489284982</c:v>
                </c:pt>
                <c:pt idx="76">
                  <c:v>-2.835728557084761</c:v>
                </c:pt>
                <c:pt idx="77">
                  <c:v>7.534210828470937</c:v>
                </c:pt>
                <c:pt idx="78">
                  <c:v>7.4873084128478693</c:v>
                </c:pt>
                <c:pt idx="79">
                  <c:v>2.8360628349791552</c:v>
                </c:pt>
                <c:pt idx="80">
                  <c:v>-1.2289791437980306</c:v>
                </c:pt>
                <c:pt idx="81">
                  <c:v>3.5105422958777721</c:v>
                </c:pt>
                <c:pt idx="82">
                  <c:v>11.394128358414083</c:v>
                </c:pt>
                <c:pt idx="83">
                  <c:v>7.8094217342190326</c:v>
                </c:pt>
                <c:pt idx="84">
                  <c:v>-2.4828794678777668</c:v>
                </c:pt>
                <c:pt idx="85">
                  <c:v>6.5608818740557062</c:v>
                </c:pt>
                <c:pt idx="86">
                  <c:v>1.1119026233468654</c:v>
                </c:pt>
                <c:pt idx="87">
                  <c:v>-0.40569884348601742</c:v>
                </c:pt>
                <c:pt idx="88">
                  <c:v>6.504637382015015</c:v>
                </c:pt>
                <c:pt idx="89">
                  <c:v>0.89008393870165015</c:v>
                </c:pt>
                <c:pt idx="90">
                  <c:v>0.26428775880163646</c:v>
                </c:pt>
                <c:pt idx="91">
                  <c:v>8.6858190515160558</c:v>
                </c:pt>
                <c:pt idx="92">
                  <c:v>2.8364716732235244</c:v>
                </c:pt>
                <c:pt idx="93">
                  <c:v>0.30366411910444624</c:v>
                </c:pt>
                <c:pt idx="94">
                  <c:v>-3.8957878862471853</c:v>
                </c:pt>
                <c:pt idx="95">
                  <c:v>2.1836285270149238</c:v>
                </c:pt>
                <c:pt idx="96">
                  <c:v>-8.1825279977876794E-2</c:v>
                </c:pt>
                <c:pt idx="97">
                  <c:v>-3.1485278131010195</c:v>
                </c:pt>
                <c:pt idx="98">
                  <c:v>3.9946051840251426</c:v>
                </c:pt>
                <c:pt idx="99">
                  <c:v>-2.0738916961307816</c:v>
                </c:pt>
                <c:pt idx="100">
                  <c:v>-3.0287881046978375</c:v>
                </c:pt>
                <c:pt idx="101">
                  <c:v>-4.8496944445281862</c:v>
                </c:pt>
                <c:pt idx="102">
                  <c:v>8.7324345305049036</c:v>
                </c:pt>
                <c:pt idx="103">
                  <c:v>3.5029796162195987</c:v>
                </c:pt>
                <c:pt idx="104">
                  <c:v>-3.7442354146841419</c:v>
                </c:pt>
                <c:pt idx="105">
                  <c:v>5.3693179325332769</c:v>
                </c:pt>
                <c:pt idx="106">
                  <c:v>4.1424701035964393</c:v>
                </c:pt>
                <c:pt idx="107">
                  <c:v>-3.4813829574562756</c:v>
                </c:pt>
                <c:pt idx="108">
                  <c:v>-2.4476258333195133</c:v>
                </c:pt>
                <c:pt idx="109">
                  <c:v>-2.0280656658447622</c:v>
                </c:pt>
                <c:pt idx="110">
                  <c:v>0.32246972512056077</c:v>
                </c:pt>
                <c:pt idx="111">
                  <c:v>4.0625585045867592</c:v>
                </c:pt>
                <c:pt idx="112">
                  <c:v>2.5983946858566367</c:v>
                </c:pt>
                <c:pt idx="113">
                  <c:v>3.5320808874309275</c:v>
                </c:pt>
                <c:pt idx="114">
                  <c:v>2.9430847280089427</c:v>
                </c:pt>
                <c:pt idx="115">
                  <c:v>-2.5311585618969517</c:v>
                </c:pt>
                <c:pt idx="116">
                  <c:v>1.9970083827608058</c:v>
                </c:pt>
                <c:pt idx="117">
                  <c:v>-2.844950937708461</c:v>
                </c:pt>
                <c:pt idx="118">
                  <c:v>5.5218662865049746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8-43FC-B206-B4A5B854D8A3}"/>
            </c:ext>
          </c:extLst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Zero_Line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data!$N$2:$N$132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A28-43FC-B206-B4A5B854D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632256"/>
        <c:axId val="1535641376"/>
      </c:lineChart>
      <c:dateAx>
        <c:axId val="153563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Jan 2014- Nov 2023</a:t>
                </a:r>
              </a:p>
            </c:rich>
          </c:tx>
          <c:layout>
            <c:manualLayout>
              <c:xMode val="edge"/>
              <c:yMode val="edge"/>
              <c:x val="0.35924190726159227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41376"/>
        <c:crossesAt val="0"/>
        <c:auto val="1"/>
        <c:lblOffset val="100"/>
        <c:baseTimeUnit val="months"/>
      </c:dateAx>
      <c:valAx>
        <c:axId val="15356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Monthly returns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63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</a:t>
            </a:r>
            <a:r>
              <a:rPr lang="en-US" baseline="0"/>
              <a:t> </a:t>
            </a:r>
            <a:r>
              <a:rPr lang="en-US"/>
              <a:t>Returns vs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data!$D$1:$F$1</c:f>
              <c:strCache>
                <c:ptCount val="1"/>
                <c:pt idx="0">
                  <c:v>NIFTY_Returns  Repo_Rate Inflation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78258967629047"/>
                  <c:y val="0.138260790317876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data!$F$14:$F$132</c:f>
              <c:numCache>
                <c:formatCode>General</c:formatCode>
                <c:ptCount val="119"/>
                <c:pt idx="0">
                  <c:v>8.6042065009560229</c:v>
                </c:pt>
                <c:pt idx="1">
                  <c:v>7.8822412155745463</c:v>
                </c:pt>
                <c:pt idx="2">
                  <c:v>8.2464454976303347</c:v>
                </c:pt>
                <c:pt idx="3">
                  <c:v>8.482563619227145</c:v>
                </c:pt>
                <c:pt idx="4">
                  <c:v>8.3255378858746418</c:v>
                </c:pt>
                <c:pt idx="5">
                  <c:v>6.7703568161024759</c:v>
                </c:pt>
                <c:pt idx="6">
                  <c:v>7.3873873873873901</c:v>
                </c:pt>
                <c:pt idx="7">
                  <c:v>7.0284697508896725</c:v>
                </c:pt>
                <c:pt idx="8">
                  <c:v>5.6288478452066766</c:v>
                </c:pt>
                <c:pt idx="9">
                  <c:v>4.6167247386759556</c:v>
                </c:pt>
                <c:pt idx="10">
                  <c:v>3.2674118658641422</c:v>
                </c:pt>
                <c:pt idx="11">
                  <c:v>4.2794759825327562</c:v>
                </c:pt>
                <c:pt idx="12">
                  <c:v>5.1936619718309913</c:v>
                </c:pt>
                <c:pt idx="13">
                  <c:v>5.369718309859163</c:v>
                </c:pt>
                <c:pt idx="14">
                  <c:v>5.2539404553415059</c:v>
                </c:pt>
                <c:pt idx="15">
                  <c:v>4.8653344917463155</c:v>
                </c:pt>
                <c:pt idx="16">
                  <c:v>5.0086355785837631</c:v>
                </c:pt>
                <c:pt idx="17">
                  <c:v>5.3984575835475548</c:v>
                </c:pt>
                <c:pt idx="18">
                  <c:v>3.6912751677852276</c:v>
                </c:pt>
                <c:pt idx="19">
                  <c:v>3.7406483790523692</c:v>
                </c:pt>
                <c:pt idx="20">
                  <c:v>4.4129891756869366</c:v>
                </c:pt>
                <c:pt idx="21">
                  <c:v>4.9958368026644466</c:v>
                </c:pt>
                <c:pt idx="22">
                  <c:v>5.4121565362198174</c:v>
                </c:pt>
                <c:pt idx="23">
                  <c:v>5.6113902847571087</c:v>
                </c:pt>
                <c:pt idx="24">
                  <c:v>5.690376569037654</c:v>
                </c:pt>
                <c:pt idx="25">
                  <c:v>5.2631578947368398</c:v>
                </c:pt>
                <c:pt idx="26">
                  <c:v>4.8252911813643902</c:v>
                </c:pt>
                <c:pt idx="27">
                  <c:v>5.4681027340513628</c:v>
                </c:pt>
                <c:pt idx="28">
                  <c:v>5.7565789473684212</c:v>
                </c:pt>
                <c:pt idx="29">
                  <c:v>5.7723577235772305</c:v>
                </c:pt>
                <c:pt idx="30">
                  <c:v>6.0679611650485441</c:v>
                </c:pt>
                <c:pt idx="31">
                  <c:v>5.0480769230769207</c:v>
                </c:pt>
                <c:pt idx="32">
                  <c:v>4.3859649122807012</c:v>
                </c:pt>
                <c:pt idx="33">
                  <c:v>4.2030134813640059</c:v>
                </c:pt>
                <c:pt idx="34">
                  <c:v>3.6334913112164253</c:v>
                </c:pt>
                <c:pt idx="35">
                  <c:v>3.4099920697858934</c:v>
                </c:pt>
                <c:pt idx="36">
                  <c:v>3.1670625494853639</c:v>
                </c:pt>
                <c:pt idx="37">
                  <c:v>3.6507936507936463</c:v>
                </c:pt>
                <c:pt idx="38">
                  <c:v>3.8888888888888933</c:v>
                </c:pt>
                <c:pt idx="39">
                  <c:v>2.9850746268656696</c:v>
                </c:pt>
                <c:pt idx="40">
                  <c:v>2.1772939346811913</c:v>
                </c:pt>
                <c:pt idx="41">
                  <c:v>1.4604150653343626</c:v>
                </c:pt>
                <c:pt idx="42">
                  <c:v>2.3646071700991569</c:v>
                </c:pt>
                <c:pt idx="43">
                  <c:v>3.2799389778794903</c:v>
                </c:pt>
                <c:pt idx="44">
                  <c:v>3.2849503437738599</c:v>
                </c:pt>
                <c:pt idx="45">
                  <c:v>3.5768645357686371</c:v>
                </c:pt>
                <c:pt idx="46">
                  <c:v>4.8780487804878101</c:v>
                </c:pt>
                <c:pt idx="47">
                  <c:v>5.2147239263803549</c:v>
                </c:pt>
                <c:pt idx="48">
                  <c:v>5.0652340752110465</c:v>
                </c:pt>
                <c:pt idx="49">
                  <c:v>4.4410413476263493</c:v>
                </c:pt>
                <c:pt idx="50">
                  <c:v>4.2780748663101562</c:v>
                </c:pt>
                <c:pt idx="51">
                  <c:v>4.5766590389016022</c:v>
                </c:pt>
                <c:pt idx="52">
                  <c:v>4.8706240487062447</c:v>
                </c:pt>
                <c:pt idx="53">
                  <c:v>4.9242424242424239</c:v>
                </c:pt>
                <c:pt idx="54">
                  <c:v>4.1728763040238617</c:v>
                </c:pt>
                <c:pt idx="55">
                  <c:v>3.6927621861152145</c:v>
                </c:pt>
                <c:pt idx="56">
                  <c:v>3.6982248520710059</c:v>
                </c:pt>
                <c:pt idx="57">
                  <c:v>3.4533431300514459</c:v>
                </c:pt>
                <c:pt idx="58">
                  <c:v>2.3255813953488498</c:v>
                </c:pt>
                <c:pt idx="59">
                  <c:v>2.1137026239067098</c:v>
                </c:pt>
                <c:pt idx="60">
                  <c:v>1.972242512783045</c:v>
                </c:pt>
                <c:pt idx="61">
                  <c:v>2.5659824046920821</c:v>
                </c:pt>
                <c:pt idx="62">
                  <c:v>2.8571428571428612</c:v>
                </c:pt>
                <c:pt idx="63">
                  <c:v>2.9905178701677566</c:v>
                </c:pt>
                <c:pt idx="64">
                  <c:v>3.0478955007256809</c:v>
                </c:pt>
                <c:pt idx="65">
                  <c:v>3.1768953068592101</c:v>
                </c:pt>
                <c:pt idx="66">
                  <c:v>3.14735336194562</c:v>
                </c:pt>
                <c:pt idx="67">
                  <c:v>3.2763532763532721</c:v>
                </c:pt>
                <c:pt idx="68">
                  <c:v>3.9942938659058651</c:v>
                </c:pt>
                <c:pt idx="69">
                  <c:v>4.545454545454529</c:v>
                </c:pt>
                <c:pt idx="70">
                  <c:v>5.5397727272727151</c:v>
                </c:pt>
                <c:pt idx="71">
                  <c:v>7.3518915060671031</c:v>
                </c:pt>
                <c:pt idx="72">
                  <c:v>7.5931232091690504</c:v>
                </c:pt>
                <c:pt idx="73">
                  <c:v>6.5761258041458106</c:v>
                </c:pt>
                <c:pt idx="74">
                  <c:v>5.8404558404558315</c:v>
                </c:pt>
                <c:pt idx="75">
                  <c:v>5.9962228517469329</c:v>
                </c:pt>
                <c:pt idx="76">
                  <c:v>6.1502347417840486</c:v>
                </c:pt>
                <c:pt idx="77">
                  <c:v>6.2281315605318444</c:v>
                </c:pt>
                <c:pt idx="78">
                  <c:v>5.27045769764218</c:v>
                </c:pt>
                <c:pt idx="79">
                  <c:v>6.1379310344827624</c:v>
                </c:pt>
                <c:pt idx="80">
                  <c:v>6.1042524005486802</c:v>
                </c:pt>
                <c:pt idx="81">
                  <c:v>6.2500000000000124</c:v>
                </c:pt>
                <c:pt idx="82">
                  <c:v>6.594885598923292</c:v>
                </c:pt>
                <c:pt idx="83">
                  <c:v>5.6515957446808507</c:v>
                </c:pt>
                <c:pt idx="84">
                  <c:v>4.7270306258322385</c:v>
                </c:pt>
                <c:pt idx="85">
                  <c:v>5.0301810865191152</c:v>
                </c:pt>
                <c:pt idx="86">
                  <c:v>5.5181695827725559</c:v>
                </c:pt>
                <c:pt idx="87">
                  <c:v>5.4342984409799699</c:v>
                </c:pt>
                <c:pt idx="88">
                  <c:v>6.4130915524104308</c:v>
                </c:pt>
                <c:pt idx="89">
                  <c:v>6.2582345191040831</c:v>
                </c:pt>
                <c:pt idx="90">
                  <c:v>7.0487483530961708</c:v>
                </c:pt>
                <c:pt idx="91">
                  <c:v>6.0428849902534001</c:v>
                </c:pt>
                <c:pt idx="92">
                  <c:v>5.4945054945054954</c:v>
                </c:pt>
                <c:pt idx="93">
                  <c:v>5.8184143222506357</c:v>
                </c:pt>
                <c:pt idx="94">
                  <c:v>5.239898989898979</c:v>
                </c:pt>
                <c:pt idx="95">
                  <c:v>4.5940843297671385</c:v>
                </c:pt>
                <c:pt idx="96">
                  <c:v>5.3401144310235074</c:v>
                </c:pt>
                <c:pt idx="97">
                  <c:v>6.0664112388250322</c:v>
                </c:pt>
                <c:pt idx="98">
                  <c:v>6.9515306122448823</c:v>
                </c:pt>
                <c:pt idx="99">
                  <c:v>7.7946768060836389</c:v>
                </c:pt>
                <c:pt idx="100">
                  <c:v>7.044887780548617</c:v>
                </c:pt>
                <c:pt idx="101">
                  <c:v>7.0055796652200755</c:v>
                </c:pt>
                <c:pt idx="102">
                  <c:v>6.7076923076923114</c:v>
                </c:pt>
                <c:pt idx="103">
                  <c:v>6.8014705882353086</c:v>
                </c:pt>
                <c:pt idx="104">
                  <c:v>7.4142156862745239</c:v>
                </c:pt>
                <c:pt idx="105">
                  <c:v>6.7673716012084526</c:v>
                </c:pt>
                <c:pt idx="106">
                  <c:v>5.8788242351529769</c:v>
                </c:pt>
                <c:pt idx="107">
                  <c:v>5.7160048134777384</c:v>
                </c:pt>
                <c:pt idx="108">
                  <c:v>6.5178032589016377</c:v>
                </c:pt>
                <c:pt idx="109">
                  <c:v>6.6827212522576733</c:v>
                </c:pt>
                <c:pt idx="110">
                  <c:v>5.6648777579010146</c:v>
                </c:pt>
                <c:pt idx="111">
                  <c:v>4.7031158142269254</c:v>
                </c:pt>
                <c:pt idx="112">
                  <c:v>4.3098427489807838</c:v>
                </c:pt>
                <c:pt idx="113">
                  <c:v>4.8667439165701074</c:v>
                </c:pt>
                <c:pt idx="114">
                  <c:v>7.4394463667820094</c:v>
                </c:pt>
                <c:pt idx="115">
                  <c:v>6.8273092369477775</c:v>
                </c:pt>
                <c:pt idx="116">
                  <c:v>5.0199657729606288</c:v>
                </c:pt>
                <c:pt idx="117">
                  <c:v>4.8670062252405337</c:v>
                </c:pt>
                <c:pt idx="118">
                  <c:v>5.552407932011338</c:v>
                </c:pt>
              </c:numCache>
            </c:numRef>
          </c:xVal>
          <c:yVal>
            <c:numRef>
              <c:f>data!$D$14:$D$132</c:f>
              <c:numCache>
                <c:formatCode>General</c:formatCode>
                <c:ptCount val="119"/>
                <c:pt idx="0">
                  <c:v>-3.4026015228426396</c:v>
                </c:pt>
                <c:pt idx="1">
                  <c:v>3.0782494457673013</c:v>
                </c:pt>
                <c:pt idx="2">
                  <c:v>6.8066497263798498</c:v>
                </c:pt>
                <c:pt idx="3">
                  <c:v>-0.11634497777512877</c:v>
                </c:pt>
                <c:pt idx="4">
                  <c:v>7.9677139955797172</c:v>
                </c:pt>
                <c:pt idx="5">
                  <c:v>5.2752785288971644</c:v>
                </c:pt>
                <c:pt idx="6">
                  <c:v>1.4445532001550292</c:v>
                </c:pt>
                <c:pt idx="7">
                  <c:v>3.0182741248235425</c:v>
                </c:pt>
                <c:pt idx="8">
                  <c:v>0.13137465663441789</c:v>
                </c:pt>
                <c:pt idx="9">
                  <c:v>4.4872438730413888</c:v>
                </c:pt>
                <c:pt idx="10">
                  <c:v>3.1968710196822867</c:v>
                </c:pt>
                <c:pt idx="11">
                  <c:v>-3.5577678805344424</c:v>
                </c:pt>
                <c:pt idx="12">
                  <c:v>6.3530008330616683</c:v>
                </c:pt>
                <c:pt idx="13">
                  <c:v>1.0551828264596117</c:v>
                </c:pt>
                <c:pt idx="14">
                  <c:v>-4.6153327679077982</c:v>
                </c:pt>
                <c:pt idx="15">
                  <c:v>-3.6450359203862917</c:v>
                </c:pt>
                <c:pt idx="16">
                  <c:v>3.0819531870683816</c:v>
                </c:pt>
                <c:pt idx="17">
                  <c:v>-0.77250063732784313</c:v>
                </c:pt>
                <c:pt idx="18">
                  <c:v>1.9639122901356321</c:v>
                </c:pt>
                <c:pt idx="19">
                  <c:v>-6.5810368165384379</c:v>
                </c:pt>
                <c:pt idx="20">
                  <c:v>-0.28100811661837521</c:v>
                </c:pt>
                <c:pt idx="21">
                  <c:v>1.4706437368692593</c:v>
                </c:pt>
                <c:pt idx="22">
                  <c:v>-1.6185623248778818</c:v>
                </c:pt>
                <c:pt idx="23">
                  <c:v>0.13988217132415948</c:v>
                </c:pt>
                <c:pt idx="24">
                  <c:v>-4.8173060587565386</c:v>
                </c:pt>
                <c:pt idx="25">
                  <c:v>-7.6220822232946173</c:v>
                </c:pt>
                <c:pt idx="26">
                  <c:v>10.753465339449402</c:v>
                </c:pt>
                <c:pt idx="27">
                  <c:v>1.4395740721596266</c:v>
                </c:pt>
                <c:pt idx="28">
                  <c:v>3.9529669545720929</c:v>
                </c:pt>
                <c:pt idx="29">
                  <c:v>1.5643190647173395</c:v>
                </c:pt>
                <c:pt idx="30">
                  <c:v>4.2321498597327381</c:v>
                </c:pt>
                <c:pt idx="31">
                  <c:v>1.7097875788620791</c:v>
                </c:pt>
                <c:pt idx="32">
                  <c:v>-1.9923288793790386</c:v>
                </c:pt>
                <c:pt idx="33">
                  <c:v>0.16896697885881781</c:v>
                </c:pt>
                <c:pt idx="34">
                  <c:v>-4.6512167128465016</c:v>
                </c:pt>
                <c:pt idx="35">
                  <c:v>-0.47054532190406495</c:v>
                </c:pt>
                <c:pt idx="36">
                  <c:v>4.5872120012704816</c:v>
                </c:pt>
                <c:pt idx="37">
                  <c:v>3.7178933105953669</c:v>
                </c:pt>
                <c:pt idx="38">
                  <c:v>3.3126492184332585</c:v>
                </c:pt>
                <c:pt idx="39">
                  <c:v>1.4203569968660501</c:v>
                </c:pt>
                <c:pt idx="40">
                  <c:v>3.4092680069432211</c:v>
                </c:pt>
                <c:pt idx="41">
                  <c:v>-1.0430037677017057</c:v>
                </c:pt>
                <c:pt idx="42">
                  <c:v>5.8418846957745671</c:v>
                </c:pt>
                <c:pt idx="43">
                  <c:v>-1.5798195909537536</c:v>
                </c:pt>
                <c:pt idx="44">
                  <c:v>-1.3037034049546707</c:v>
                </c:pt>
                <c:pt idx="45">
                  <c:v>5.5850683448092564</c:v>
                </c:pt>
                <c:pt idx="46">
                  <c:v>-1.0522190937853764</c:v>
                </c:pt>
                <c:pt idx="47">
                  <c:v>2.9741212823484116</c:v>
                </c:pt>
                <c:pt idx="48">
                  <c:v>4.7195343139582357</c:v>
                </c:pt>
                <c:pt idx="49">
                  <c:v>-4.8500593958849114</c:v>
                </c:pt>
                <c:pt idx="50">
                  <c:v>-3.6134129430993451</c:v>
                </c:pt>
                <c:pt idx="51">
                  <c:v>6.186163323017289</c:v>
                </c:pt>
                <c:pt idx="52">
                  <c:v>-2.9796961641074437E-2</c:v>
                </c:pt>
                <c:pt idx="53">
                  <c:v>-0.20351802089203638</c:v>
                </c:pt>
                <c:pt idx="54">
                  <c:v>5.9938586748551081</c:v>
                </c:pt>
                <c:pt idx="55">
                  <c:v>2.8529916787742704</c:v>
                </c:pt>
                <c:pt idx="56">
                  <c:v>-6.4213860708017574</c:v>
                </c:pt>
                <c:pt idx="57">
                  <c:v>-4.9755499544849506</c:v>
                </c:pt>
                <c:pt idx="58">
                  <c:v>4.7190610979531282</c:v>
                </c:pt>
                <c:pt idx="59">
                  <c:v>-0.13055370400166161</c:v>
                </c:pt>
                <c:pt idx="60">
                  <c:v>-0.29090775186303902</c:v>
                </c:pt>
                <c:pt idx="61">
                  <c:v>-0.35500117718206364</c:v>
                </c:pt>
                <c:pt idx="62">
                  <c:v>7.7034977993977263</c:v>
                </c:pt>
                <c:pt idx="63">
                  <c:v>1.0689183492631562</c:v>
                </c:pt>
                <c:pt idx="64">
                  <c:v>1.4866170418321152</c:v>
                </c:pt>
                <c:pt idx="65">
                  <c:v>-1.1234777065789825</c:v>
                </c:pt>
                <c:pt idx="66">
                  <c:v>-5.6905465757898384</c:v>
                </c:pt>
                <c:pt idx="67">
                  <c:v>-0.8522216225939917</c:v>
                </c:pt>
                <c:pt idx="68">
                  <c:v>4.0931667158052365</c:v>
                </c:pt>
                <c:pt idx="69">
                  <c:v>3.5121509091939043</c:v>
                </c:pt>
                <c:pt idx="70">
                  <c:v>1.503689765058986</c:v>
                </c:pt>
                <c:pt idx="71">
                  <c:v>0.93231199273395071</c:v>
                </c:pt>
                <c:pt idx="72">
                  <c:v>-1.6957788378963661</c:v>
                </c:pt>
                <c:pt idx="73">
                  <c:v>-6.3563253943705558</c:v>
                </c:pt>
                <c:pt idx="74">
                  <c:v>-23.246367755038275</c:v>
                </c:pt>
                <c:pt idx="75">
                  <c:v>14.680003489284982</c:v>
                </c:pt>
                <c:pt idx="76">
                  <c:v>-2.835728557084761</c:v>
                </c:pt>
                <c:pt idx="77">
                  <c:v>7.534210828470937</c:v>
                </c:pt>
                <c:pt idx="78">
                  <c:v>7.4873084128478693</c:v>
                </c:pt>
                <c:pt idx="79">
                  <c:v>2.8360628349791552</c:v>
                </c:pt>
                <c:pt idx="80">
                  <c:v>-1.2289791437980306</c:v>
                </c:pt>
                <c:pt idx="81">
                  <c:v>3.5105422958777721</c:v>
                </c:pt>
                <c:pt idx="82">
                  <c:v>11.394128358414083</c:v>
                </c:pt>
                <c:pt idx="83">
                  <c:v>7.8094217342190326</c:v>
                </c:pt>
                <c:pt idx="84">
                  <c:v>-2.4828794678777668</c:v>
                </c:pt>
                <c:pt idx="85">
                  <c:v>6.5608818740557062</c:v>
                </c:pt>
                <c:pt idx="86">
                  <c:v>1.1119026233468654</c:v>
                </c:pt>
                <c:pt idx="87">
                  <c:v>-0.40569884348601742</c:v>
                </c:pt>
                <c:pt idx="88">
                  <c:v>6.504637382015015</c:v>
                </c:pt>
                <c:pt idx="89">
                  <c:v>0.89008393870165015</c:v>
                </c:pt>
                <c:pt idx="90">
                  <c:v>0.26428775880163646</c:v>
                </c:pt>
                <c:pt idx="91">
                  <c:v>8.6858190515160558</c:v>
                </c:pt>
                <c:pt idx="92">
                  <c:v>2.8364716732235244</c:v>
                </c:pt>
                <c:pt idx="93">
                  <c:v>0.30366411910444624</c:v>
                </c:pt>
                <c:pt idx="94">
                  <c:v>-3.8957878862471853</c:v>
                </c:pt>
                <c:pt idx="95">
                  <c:v>2.1836285270149238</c:v>
                </c:pt>
                <c:pt idx="96">
                  <c:v>-8.1825279977876794E-2</c:v>
                </c:pt>
                <c:pt idx="97">
                  <c:v>-3.1485278131010195</c:v>
                </c:pt>
                <c:pt idx="98">
                  <c:v>3.9946051840251426</c:v>
                </c:pt>
                <c:pt idx="99">
                  <c:v>-2.0738916961307816</c:v>
                </c:pt>
                <c:pt idx="100">
                  <c:v>-3.0287881046978375</c:v>
                </c:pt>
                <c:pt idx="101">
                  <c:v>-4.8496944445281862</c:v>
                </c:pt>
                <c:pt idx="102">
                  <c:v>8.7324345305049036</c:v>
                </c:pt>
                <c:pt idx="103">
                  <c:v>3.5029796162195987</c:v>
                </c:pt>
                <c:pt idx="104">
                  <c:v>-3.7442354146841419</c:v>
                </c:pt>
                <c:pt idx="105">
                  <c:v>5.3693179325332769</c:v>
                </c:pt>
                <c:pt idx="106">
                  <c:v>4.1424701035964393</c:v>
                </c:pt>
                <c:pt idx="107">
                  <c:v>-3.4813829574562756</c:v>
                </c:pt>
                <c:pt idx="108">
                  <c:v>-2.4476258333195133</c:v>
                </c:pt>
                <c:pt idx="109">
                  <c:v>-2.0280656658447622</c:v>
                </c:pt>
                <c:pt idx="110">
                  <c:v>0.32246972512056077</c:v>
                </c:pt>
                <c:pt idx="111">
                  <c:v>4.0625585045867592</c:v>
                </c:pt>
                <c:pt idx="112">
                  <c:v>2.5983946858566367</c:v>
                </c:pt>
                <c:pt idx="113">
                  <c:v>3.5320808874309275</c:v>
                </c:pt>
                <c:pt idx="114">
                  <c:v>2.9430847280089427</c:v>
                </c:pt>
                <c:pt idx="115">
                  <c:v>-2.5311585618969517</c:v>
                </c:pt>
                <c:pt idx="116">
                  <c:v>1.9970083827608058</c:v>
                </c:pt>
                <c:pt idx="117">
                  <c:v>-2.844950937708461</c:v>
                </c:pt>
                <c:pt idx="118">
                  <c:v>5.5218662865049746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03-4F35-B92E-B4FAAF57C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679696"/>
        <c:axId val="1420681616"/>
      </c:scatterChart>
      <c:valAx>
        <c:axId val="14206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81616"/>
        <c:crosses val="autoZero"/>
        <c:crossBetween val="midCat"/>
      </c:valAx>
      <c:valAx>
        <c:axId val="14206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NIFTY Monthly Returns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7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Repo Rate vs Returns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data!$D$1:$E$1</c:f>
              <c:strCache>
                <c:ptCount val="1"/>
                <c:pt idx="0">
                  <c:v>NIFTY_Returns  Repo_Rate</c:v>
                </c:pt>
              </c:strCache>
            </c:strRef>
          </c:tx>
          <c:spPr>
            <a:ln w="158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469378827646542E-2"/>
                  <c:y val="0.181781496062992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data!$E$14:$E$132</c:f>
              <c:numCache>
                <c:formatCode>General</c:formatCode>
                <c:ptCount val="119"/>
                <c:pt idx="0">
                  <c:v>7.75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7.75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7.25</c:v>
                </c:pt>
                <c:pt idx="18">
                  <c:v>7.25</c:v>
                </c:pt>
                <c:pt idx="19">
                  <c:v>7.25</c:v>
                </c:pt>
                <c:pt idx="20">
                  <c:v>7.25</c:v>
                </c:pt>
                <c:pt idx="21">
                  <c:v>6.75</c:v>
                </c:pt>
                <c:pt idx="22">
                  <c:v>6.75</c:v>
                </c:pt>
                <c:pt idx="23">
                  <c:v>6.75</c:v>
                </c:pt>
                <c:pt idx="24">
                  <c:v>6.75</c:v>
                </c:pt>
                <c:pt idx="25">
                  <c:v>6.75</c:v>
                </c:pt>
                <c:pt idx="26">
                  <c:v>6.75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6.25</c:v>
                </c:pt>
                <c:pt idx="34">
                  <c:v>6.25</c:v>
                </c:pt>
                <c:pt idx="35">
                  <c:v>6.25</c:v>
                </c:pt>
                <c:pt idx="36">
                  <c:v>6.25</c:v>
                </c:pt>
                <c:pt idx="37">
                  <c:v>6.25</c:v>
                </c:pt>
                <c:pt idx="38">
                  <c:v>6.25</c:v>
                </c:pt>
                <c:pt idx="39">
                  <c:v>6.25</c:v>
                </c:pt>
                <c:pt idx="40">
                  <c:v>6.25</c:v>
                </c:pt>
                <c:pt idx="41">
                  <c:v>6.25</c:v>
                </c:pt>
                <c:pt idx="42">
                  <c:v>6.25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6.25</c:v>
                </c:pt>
                <c:pt idx="54">
                  <c:v>6.25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6.25</c:v>
                </c:pt>
                <c:pt idx="62">
                  <c:v>6.25</c:v>
                </c:pt>
                <c:pt idx="63">
                  <c:v>6</c:v>
                </c:pt>
                <c:pt idx="64">
                  <c:v>6</c:v>
                </c:pt>
                <c:pt idx="65">
                  <c:v>5.75</c:v>
                </c:pt>
                <c:pt idx="66">
                  <c:v>5.75</c:v>
                </c:pt>
                <c:pt idx="67">
                  <c:v>5.4</c:v>
                </c:pt>
                <c:pt idx="68">
                  <c:v>5.4</c:v>
                </c:pt>
                <c:pt idx="69">
                  <c:v>5.15</c:v>
                </c:pt>
                <c:pt idx="70">
                  <c:v>5.15</c:v>
                </c:pt>
                <c:pt idx="71">
                  <c:v>5.15</c:v>
                </c:pt>
                <c:pt idx="72">
                  <c:v>5.15</c:v>
                </c:pt>
                <c:pt idx="73">
                  <c:v>5.15</c:v>
                </c:pt>
                <c:pt idx="74">
                  <c:v>5.15</c:v>
                </c:pt>
                <c:pt idx="75">
                  <c:v>4.4000000000000004</c:v>
                </c:pt>
                <c:pt idx="76">
                  <c:v>4.4000000000000004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4.4000000000000004</c:v>
                </c:pt>
                <c:pt idx="101">
                  <c:v>4.9000000000000004</c:v>
                </c:pt>
                <c:pt idx="102">
                  <c:v>4.9000000000000004</c:v>
                </c:pt>
                <c:pt idx="103">
                  <c:v>5.4</c:v>
                </c:pt>
                <c:pt idx="104">
                  <c:v>5.4</c:v>
                </c:pt>
                <c:pt idx="105">
                  <c:v>5.9</c:v>
                </c:pt>
                <c:pt idx="106">
                  <c:v>5.9</c:v>
                </c:pt>
                <c:pt idx="107">
                  <c:v>6.25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  <c:pt idx="116">
                  <c:v>6.5</c:v>
                </c:pt>
                <c:pt idx="117">
                  <c:v>6.5</c:v>
                </c:pt>
                <c:pt idx="118">
                  <c:v>6.5</c:v>
                </c:pt>
              </c:numCache>
            </c:numRef>
          </c:xVal>
          <c:yVal>
            <c:numRef>
              <c:f>data!$D$14:$D$132</c:f>
              <c:numCache>
                <c:formatCode>General</c:formatCode>
                <c:ptCount val="119"/>
                <c:pt idx="0">
                  <c:v>-3.4026015228426396</c:v>
                </c:pt>
                <c:pt idx="1">
                  <c:v>3.0782494457673013</c:v>
                </c:pt>
                <c:pt idx="2">
                  <c:v>6.8066497263798498</c:v>
                </c:pt>
                <c:pt idx="3">
                  <c:v>-0.11634497777512877</c:v>
                </c:pt>
                <c:pt idx="4">
                  <c:v>7.9677139955797172</c:v>
                </c:pt>
                <c:pt idx="5">
                  <c:v>5.2752785288971644</c:v>
                </c:pt>
                <c:pt idx="6">
                  <c:v>1.4445532001550292</c:v>
                </c:pt>
                <c:pt idx="7">
                  <c:v>3.0182741248235425</c:v>
                </c:pt>
                <c:pt idx="8">
                  <c:v>0.13137465663441789</c:v>
                </c:pt>
                <c:pt idx="9">
                  <c:v>4.4872438730413888</c:v>
                </c:pt>
                <c:pt idx="10">
                  <c:v>3.1968710196822867</c:v>
                </c:pt>
                <c:pt idx="11">
                  <c:v>-3.5577678805344424</c:v>
                </c:pt>
                <c:pt idx="12">
                  <c:v>6.3530008330616683</c:v>
                </c:pt>
                <c:pt idx="13">
                  <c:v>1.0551828264596117</c:v>
                </c:pt>
                <c:pt idx="14">
                  <c:v>-4.6153327679077982</c:v>
                </c:pt>
                <c:pt idx="15">
                  <c:v>-3.6450359203862917</c:v>
                </c:pt>
                <c:pt idx="16">
                  <c:v>3.0819531870683816</c:v>
                </c:pt>
                <c:pt idx="17">
                  <c:v>-0.77250063732784313</c:v>
                </c:pt>
                <c:pt idx="18">
                  <c:v>1.9639122901356321</c:v>
                </c:pt>
                <c:pt idx="19">
                  <c:v>-6.5810368165384379</c:v>
                </c:pt>
                <c:pt idx="20">
                  <c:v>-0.28100811661837521</c:v>
                </c:pt>
                <c:pt idx="21">
                  <c:v>1.4706437368692593</c:v>
                </c:pt>
                <c:pt idx="22">
                  <c:v>-1.6185623248778818</c:v>
                </c:pt>
                <c:pt idx="23">
                  <c:v>0.13988217132415948</c:v>
                </c:pt>
                <c:pt idx="24">
                  <c:v>-4.8173060587565386</c:v>
                </c:pt>
                <c:pt idx="25">
                  <c:v>-7.6220822232946173</c:v>
                </c:pt>
                <c:pt idx="26">
                  <c:v>10.753465339449402</c:v>
                </c:pt>
                <c:pt idx="27">
                  <c:v>1.4395740721596266</c:v>
                </c:pt>
                <c:pt idx="28">
                  <c:v>3.9529669545720929</c:v>
                </c:pt>
                <c:pt idx="29">
                  <c:v>1.5643190647173395</c:v>
                </c:pt>
                <c:pt idx="30">
                  <c:v>4.2321498597327381</c:v>
                </c:pt>
                <c:pt idx="31">
                  <c:v>1.7097875788620791</c:v>
                </c:pt>
                <c:pt idx="32">
                  <c:v>-1.9923288793790386</c:v>
                </c:pt>
                <c:pt idx="33">
                  <c:v>0.16896697885881781</c:v>
                </c:pt>
                <c:pt idx="34">
                  <c:v>-4.6512167128465016</c:v>
                </c:pt>
                <c:pt idx="35">
                  <c:v>-0.47054532190406495</c:v>
                </c:pt>
                <c:pt idx="36">
                  <c:v>4.5872120012704816</c:v>
                </c:pt>
                <c:pt idx="37">
                  <c:v>3.7178933105953669</c:v>
                </c:pt>
                <c:pt idx="38">
                  <c:v>3.3126492184332585</c:v>
                </c:pt>
                <c:pt idx="39">
                  <c:v>1.4203569968660501</c:v>
                </c:pt>
                <c:pt idx="40">
                  <c:v>3.4092680069432211</c:v>
                </c:pt>
                <c:pt idx="41">
                  <c:v>-1.0430037677017057</c:v>
                </c:pt>
                <c:pt idx="42">
                  <c:v>5.8418846957745671</c:v>
                </c:pt>
                <c:pt idx="43">
                  <c:v>-1.5798195909537536</c:v>
                </c:pt>
                <c:pt idx="44">
                  <c:v>-1.3037034049546707</c:v>
                </c:pt>
                <c:pt idx="45">
                  <c:v>5.5850683448092564</c:v>
                </c:pt>
                <c:pt idx="46">
                  <c:v>-1.0522190937853764</c:v>
                </c:pt>
                <c:pt idx="47">
                  <c:v>2.9741212823484116</c:v>
                </c:pt>
                <c:pt idx="48">
                  <c:v>4.7195343139582357</c:v>
                </c:pt>
                <c:pt idx="49">
                  <c:v>-4.8500593958849114</c:v>
                </c:pt>
                <c:pt idx="50">
                  <c:v>-3.6134129430993451</c:v>
                </c:pt>
                <c:pt idx="51">
                  <c:v>6.186163323017289</c:v>
                </c:pt>
                <c:pt idx="52">
                  <c:v>-2.9796961641074437E-2</c:v>
                </c:pt>
                <c:pt idx="53">
                  <c:v>-0.20351802089203638</c:v>
                </c:pt>
                <c:pt idx="54">
                  <c:v>5.9938586748551081</c:v>
                </c:pt>
                <c:pt idx="55">
                  <c:v>2.8529916787742704</c:v>
                </c:pt>
                <c:pt idx="56">
                  <c:v>-6.4213860708017574</c:v>
                </c:pt>
                <c:pt idx="57">
                  <c:v>-4.9755499544849506</c:v>
                </c:pt>
                <c:pt idx="58">
                  <c:v>4.7190610979531282</c:v>
                </c:pt>
                <c:pt idx="59">
                  <c:v>-0.13055370400166161</c:v>
                </c:pt>
                <c:pt idx="60">
                  <c:v>-0.29090775186303902</c:v>
                </c:pt>
                <c:pt idx="61">
                  <c:v>-0.35500117718206364</c:v>
                </c:pt>
                <c:pt idx="62">
                  <c:v>7.7034977993977263</c:v>
                </c:pt>
                <c:pt idx="63">
                  <c:v>1.0689183492631562</c:v>
                </c:pt>
                <c:pt idx="64">
                  <c:v>1.4866170418321152</c:v>
                </c:pt>
                <c:pt idx="65">
                  <c:v>-1.1234777065789825</c:v>
                </c:pt>
                <c:pt idx="66">
                  <c:v>-5.6905465757898384</c:v>
                </c:pt>
                <c:pt idx="67">
                  <c:v>-0.8522216225939917</c:v>
                </c:pt>
                <c:pt idx="68">
                  <c:v>4.0931667158052365</c:v>
                </c:pt>
                <c:pt idx="69">
                  <c:v>3.5121509091939043</c:v>
                </c:pt>
                <c:pt idx="70">
                  <c:v>1.503689765058986</c:v>
                </c:pt>
                <c:pt idx="71">
                  <c:v>0.93231199273395071</c:v>
                </c:pt>
                <c:pt idx="72">
                  <c:v>-1.6957788378963661</c:v>
                </c:pt>
                <c:pt idx="73">
                  <c:v>-6.3563253943705558</c:v>
                </c:pt>
                <c:pt idx="74">
                  <c:v>-23.246367755038275</c:v>
                </c:pt>
                <c:pt idx="75">
                  <c:v>14.680003489284982</c:v>
                </c:pt>
                <c:pt idx="76">
                  <c:v>-2.835728557084761</c:v>
                </c:pt>
                <c:pt idx="77">
                  <c:v>7.534210828470937</c:v>
                </c:pt>
                <c:pt idx="78">
                  <c:v>7.4873084128478693</c:v>
                </c:pt>
                <c:pt idx="79">
                  <c:v>2.8360628349791552</c:v>
                </c:pt>
                <c:pt idx="80">
                  <c:v>-1.2289791437980306</c:v>
                </c:pt>
                <c:pt idx="81">
                  <c:v>3.5105422958777721</c:v>
                </c:pt>
                <c:pt idx="82">
                  <c:v>11.394128358414083</c:v>
                </c:pt>
                <c:pt idx="83">
                  <c:v>7.8094217342190326</c:v>
                </c:pt>
                <c:pt idx="84">
                  <c:v>-2.4828794678777668</c:v>
                </c:pt>
                <c:pt idx="85">
                  <c:v>6.5608818740557062</c:v>
                </c:pt>
                <c:pt idx="86">
                  <c:v>1.1119026233468654</c:v>
                </c:pt>
                <c:pt idx="87">
                  <c:v>-0.40569884348601742</c:v>
                </c:pt>
                <c:pt idx="88">
                  <c:v>6.504637382015015</c:v>
                </c:pt>
                <c:pt idx="89">
                  <c:v>0.89008393870165015</c:v>
                </c:pt>
                <c:pt idx="90">
                  <c:v>0.26428775880163646</c:v>
                </c:pt>
                <c:pt idx="91">
                  <c:v>8.6858190515160558</c:v>
                </c:pt>
                <c:pt idx="92">
                  <c:v>2.8364716732235244</c:v>
                </c:pt>
                <c:pt idx="93">
                  <c:v>0.30366411910444624</c:v>
                </c:pt>
                <c:pt idx="94">
                  <c:v>-3.8957878862471853</c:v>
                </c:pt>
                <c:pt idx="95">
                  <c:v>2.1836285270149238</c:v>
                </c:pt>
                <c:pt idx="96">
                  <c:v>-8.1825279977876794E-2</c:v>
                </c:pt>
                <c:pt idx="97">
                  <c:v>-3.1485278131010195</c:v>
                </c:pt>
                <c:pt idx="98">
                  <c:v>3.9946051840251426</c:v>
                </c:pt>
                <c:pt idx="99">
                  <c:v>-2.0738916961307816</c:v>
                </c:pt>
                <c:pt idx="100">
                  <c:v>-3.0287881046978375</c:v>
                </c:pt>
                <c:pt idx="101">
                  <c:v>-4.8496944445281862</c:v>
                </c:pt>
                <c:pt idx="102">
                  <c:v>8.7324345305049036</c:v>
                </c:pt>
                <c:pt idx="103">
                  <c:v>3.5029796162195987</c:v>
                </c:pt>
                <c:pt idx="104">
                  <c:v>-3.7442354146841419</c:v>
                </c:pt>
                <c:pt idx="105">
                  <c:v>5.3693179325332769</c:v>
                </c:pt>
                <c:pt idx="106">
                  <c:v>4.1424701035964393</c:v>
                </c:pt>
                <c:pt idx="107">
                  <c:v>-3.4813829574562756</c:v>
                </c:pt>
                <c:pt idx="108">
                  <c:v>-2.4476258333195133</c:v>
                </c:pt>
                <c:pt idx="109">
                  <c:v>-2.0280656658447622</c:v>
                </c:pt>
                <c:pt idx="110">
                  <c:v>0.32246972512056077</c:v>
                </c:pt>
                <c:pt idx="111">
                  <c:v>4.0625585045867592</c:v>
                </c:pt>
                <c:pt idx="112">
                  <c:v>2.5983946858566367</c:v>
                </c:pt>
                <c:pt idx="113">
                  <c:v>3.5320808874309275</c:v>
                </c:pt>
                <c:pt idx="114">
                  <c:v>2.9430847280089427</c:v>
                </c:pt>
                <c:pt idx="115">
                  <c:v>-2.5311585618969517</c:v>
                </c:pt>
                <c:pt idx="116">
                  <c:v>1.9970083827608058</c:v>
                </c:pt>
                <c:pt idx="117">
                  <c:v>-2.844950937708461</c:v>
                </c:pt>
                <c:pt idx="118">
                  <c:v>5.5218662865049746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8-44E6-B055-DC9E40E08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131760"/>
        <c:axId val="1318132240"/>
      </c:scatterChart>
      <c:valAx>
        <c:axId val="131813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Repo</a:t>
                </a:r>
                <a:r>
                  <a:rPr lang="en-US" baseline="0"/>
                  <a:t> Rate (%)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311001749781273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32240"/>
        <c:crosses val="autoZero"/>
        <c:crossBetween val="midCat"/>
      </c:valAx>
      <c:valAx>
        <c:axId val="131813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NIFTY</a:t>
                </a:r>
                <a:r>
                  <a:rPr lang="en-US" baseline="0"/>
                  <a:t> Returns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3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4281</xdr:colOff>
      <xdr:row>18</xdr:row>
      <xdr:rowOff>23260</xdr:rowOff>
    </xdr:from>
    <xdr:to>
      <xdr:col>13</xdr:col>
      <xdr:colOff>9989</xdr:colOff>
      <xdr:row>32</xdr:row>
      <xdr:rowOff>169381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599CCC-D63A-3FD0-5580-6CFB37892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12700</xdr:rowOff>
    </xdr:from>
    <xdr:to>
      <xdr:col>9</xdr:col>
      <xdr:colOff>241300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F26CB9-F572-E6C0-F6E8-8B6D4460D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</xdr:row>
      <xdr:rowOff>25400</xdr:rowOff>
    </xdr:from>
    <xdr:to>
      <xdr:col>9</xdr:col>
      <xdr:colOff>171450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8CA73-35AC-3776-88C3-E49C11DBB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25400</xdr:rowOff>
    </xdr:from>
    <xdr:to>
      <xdr:col>9</xdr:col>
      <xdr:colOff>244475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11C34-514A-7DEB-DA8E-808CCED88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22224</xdr:colOff>
      <xdr:row>1</xdr:row>
      <xdr:rowOff>12700</xdr:rowOff>
    </xdr:from>
    <xdr:to>
      <xdr:col>9</xdr:col>
      <xdr:colOff>127000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3A8839-B7F9-287F-47C0-65C0EF06A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A07A-A5DB-4B06-9D83-26129D597B62}">
  <dimension ref="A1:O317"/>
  <sheetViews>
    <sheetView topLeftCell="A7" zoomScale="80" zoomScaleNormal="80" workbookViewId="0">
      <selection activeCell="G89" sqref="G89"/>
    </sheetView>
  </sheetViews>
  <sheetFormatPr defaultRowHeight="14.5" x14ac:dyDescent="0.35"/>
  <cols>
    <col min="2" max="2" width="11.453125" bestFit="1" customWidth="1"/>
    <col min="3" max="3" width="14.453125" customWidth="1"/>
    <col min="4" max="4" width="16.54296875" customWidth="1"/>
    <col min="5" max="5" width="12" customWidth="1"/>
    <col min="6" max="6" width="15.08984375" customWidth="1"/>
    <col min="7" max="8" width="14.81640625" customWidth="1"/>
    <col min="9" max="9" width="16" bestFit="1" customWidth="1"/>
    <col min="10" max="10" width="16" customWidth="1"/>
    <col min="11" max="11" width="13" customWidth="1"/>
    <col min="12" max="12" width="18.54296875" customWidth="1"/>
    <col min="13" max="13" width="17.7265625" customWidth="1"/>
    <col min="14" max="14" width="10.54296875" customWidth="1"/>
  </cols>
  <sheetData>
    <row r="1" spans="1:14" x14ac:dyDescent="0.35">
      <c r="A1" s="13" t="s">
        <v>0</v>
      </c>
      <c r="B1" s="4" t="s">
        <v>4</v>
      </c>
      <c r="C1" s="12" t="s">
        <v>2</v>
      </c>
      <c r="D1" s="11" t="s">
        <v>6</v>
      </c>
      <c r="E1" s="14" t="s">
        <v>1</v>
      </c>
      <c r="F1" s="10" t="s">
        <v>5</v>
      </c>
      <c r="G1" s="22" t="s">
        <v>38</v>
      </c>
      <c r="H1" s="16" t="s">
        <v>45</v>
      </c>
      <c r="I1" s="17" t="s">
        <v>39</v>
      </c>
      <c r="N1" s="15" t="s">
        <v>35</v>
      </c>
    </row>
    <row r="2" spans="1:14" x14ac:dyDescent="0.35">
      <c r="A2" s="1">
        <v>41275</v>
      </c>
      <c r="B2">
        <v>104.6</v>
      </c>
      <c r="C2" s="2">
        <v>6034.75</v>
      </c>
      <c r="D2" s="3" t="s">
        <v>3</v>
      </c>
      <c r="E2">
        <v>6.75</v>
      </c>
      <c r="F2" s="3" t="s">
        <v>3</v>
      </c>
      <c r="G2" s="3" t="s">
        <v>3</v>
      </c>
      <c r="H2" s="3" t="s">
        <v>3</v>
      </c>
      <c r="I2" s="3" t="s">
        <v>3</v>
      </c>
      <c r="J2" s="3"/>
      <c r="K2" s="3"/>
      <c r="L2" s="3"/>
      <c r="M2" s="3"/>
      <c r="N2">
        <v>0</v>
      </c>
    </row>
    <row r="3" spans="1:14" x14ac:dyDescent="0.35">
      <c r="A3" s="1">
        <v>41306</v>
      </c>
      <c r="B3">
        <v>105.3</v>
      </c>
      <c r="C3" s="2">
        <v>5693.05</v>
      </c>
      <c r="D3">
        <f>(C3-C2)/C2*100</f>
        <v>-5.6622063880028142</v>
      </c>
      <c r="E3">
        <v>6.75</v>
      </c>
      <c r="F3" s="3" t="s">
        <v>3</v>
      </c>
      <c r="G3" s="3" t="s">
        <v>3</v>
      </c>
      <c r="H3" s="3" t="s">
        <v>3</v>
      </c>
      <c r="I3" s="3" t="s">
        <v>3</v>
      </c>
      <c r="J3" s="3"/>
      <c r="K3" s="3"/>
      <c r="L3" s="3"/>
      <c r="M3" s="3"/>
      <c r="N3">
        <v>0</v>
      </c>
    </row>
    <row r="4" spans="1:14" x14ac:dyDescent="0.35">
      <c r="A4" s="1">
        <v>41334</v>
      </c>
      <c r="B4">
        <v>105.5</v>
      </c>
      <c r="C4" s="2">
        <v>5682.55</v>
      </c>
      <c r="D4">
        <f t="shared" ref="D4:D67" si="0">(C4-C3)/C3*100</f>
        <v>-0.18443540808529699</v>
      </c>
      <c r="E4">
        <v>6.75</v>
      </c>
      <c r="F4" s="3" t="s">
        <v>3</v>
      </c>
      <c r="G4" s="3" t="s">
        <v>3</v>
      </c>
      <c r="H4" s="3" t="s">
        <v>3</v>
      </c>
      <c r="I4" s="3" t="s">
        <v>3</v>
      </c>
      <c r="J4" s="3"/>
      <c r="K4" s="3"/>
      <c r="L4" s="3"/>
      <c r="M4" s="3"/>
      <c r="N4">
        <v>0</v>
      </c>
    </row>
    <row r="5" spans="1:14" x14ac:dyDescent="0.35">
      <c r="A5" s="1">
        <v>41365</v>
      </c>
      <c r="B5">
        <v>106.1</v>
      </c>
      <c r="C5" s="2">
        <v>5930.2</v>
      </c>
      <c r="D5">
        <f t="shared" si="0"/>
        <v>4.3580786794660789</v>
      </c>
      <c r="E5">
        <v>6.75</v>
      </c>
      <c r="F5" s="3" t="s">
        <v>3</v>
      </c>
      <c r="G5" s="3" t="s">
        <v>3</v>
      </c>
      <c r="H5" s="3" t="s">
        <v>3</v>
      </c>
      <c r="I5" s="3" t="s">
        <v>3</v>
      </c>
      <c r="J5" s="3"/>
      <c r="K5" s="3"/>
      <c r="L5" s="3"/>
      <c r="M5" s="3"/>
      <c r="N5">
        <v>0</v>
      </c>
    </row>
    <row r="6" spans="1:14" x14ac:dyDescent="0.35">
      <c r="A6" s="1">
        <v>41395</v>
      </c>
      <c r="B6">
        <v>106.9</v>
      </c>
      <c r="C6" s="2">
        <v>5985.95</v>
      </c>
      <c r="D6">
        <f t="shared" si="0"/>
        <v>0.94010320056659136</v>
      </c>
      <c r="E6">
        <v>7.25</v>
      </c>
      <c r="F6" s="3" t="s">
        <v>3</v>
      </c>
      <c r="G6" s="3" t="s">
        <v>3</v>
      </c>
      <c r="H6" s="3" t="s">
        <v>3</v>
      </c>
      <c r="I6" s="3" t="s">
        <v>3</v>
      </c>
      <c r="J6" s="3"/>
      <c r="K6" s="3"/>
      <c r="L6" s="3"/>
      <c r="M6" s="3"/>
      <c r="N6">
        <v>0</v>
      </c>
    </row>
    <row r="7" spans="1:14" x14ac:dyDescent="0.35">
      <c r="A7" s="1">
        <v>41426</v>
      </c>
      <c r="B7">
        <v>109.3</v>
      </c>
      <c r="C7" s="2">
        <v>5842.2</v>
      </c>
      <c r="D7">
        <f t="shared" si="0"/>
        <v>-2.4014567445434727</v>
      </c>
      <c r="E7">
        <v>7.25</v>
      </c>
      <c r="F7" s="3" t="s">
        <v>3</v>
      </c>
      <c r="G7" s="3" t="s">
        <v>3</v>
      </c>
      <c r="H7" s="3" t="s">
        <v>3</v>
      </c>
      <c r="I7" s="3" t="s">
        <v>3</v>
      </c>
      <c r="J7" s="3"/>
      <c r="K7" s="3"/>
      <c r="L7" s="3"/>
      <c r="M7" s="3"/>
      <c r="N7">
        <v>0</v>
      </c>
    </row>
    <row r="8" spans="1:14" x14ac:dyDescent="0.35">
      <c r="A8" s="1">
        <v>41456</v>
      </c>
      <c r="B8">
        <v>111</v>
      </c>
      <c r="C8" s="2">
        <v>5742</v>
      </c>
      <c r="D8">
        <f t="shared" si="0"/>
        <v>-1.715107322583955</v>
      </c>
      <c r="E8">
        <v>7.25</v>
      </c>
      <c r="F8" s="3" t="s">
        <v>3</v>
      </c>
      <c r="G8" s="3" t="s">
        <v>3</v>
      </c>
      <c r="H8" s="3" t="s">
        <v>3</v>
      </c>
      <c r="I8" s="3" t="s">
        <v>3</v>
      </c>
      <c r="J8" s="3"/>
      <c r="K8" s="3"/>
      <c r="L8" s="3"/>
      <c r="M8" s="3"/>
      <c r="N8">
        <v>0</v>
      </c>
    </row>
    <row r="9" spans="1:14" x14ac:dyDescent="0.35">
      <c r="A9" s="1">
        <v>41487</v>
      </c>
      <c r="B9">
        <v>112.4</v>
      </c>
      <c r="C9" s="2">
        <v>5471.8</v>
      </c>
      <c r="D9">
        <f t="shared" si="0"/>
        <v>-4.7056774642981507</v>
      </c>
      <c r="E9">
        <v>7.25</v>
      </c>
      <c r="F9" s="3" t="s">
        <v>3</v>
      </c>
      <c r="G9" s="3" t="s">
        <v>3</v>
      </c>
      <c r="H9" s="3" t="s">
        <v>3</v>
      </c>
      <c r="I9" s="3" t="s">
        <v>3</v>
      </c>
      <c r="J9" s="3"/>
      <c r="K9" s="3"/>
      <c r="L9" s="3"/>
      <c r="M9" s="3"/>
      <c r="N9">
        <v>0</v>
      </c>
    </row>
    <row r="10" spans="1:14" x14ac:dyDescent="0.35">
      <c r="A10" s="1">
        <v>41518</v>
      </c>
      <c r="B10">
        <v>113.7</v>
      </c>
      <c r="C10" s="2">
        <v>5735.3</v>
      </c>
      <c r="D10">
        <f t="shared" si="0"/>
        <v>4.8155999853795821</v>
      </c>
      <c r="E10">
        <v>7.25</v>
      </c>
      <c r="F10" s="3" t="s">
        <v>3</v>
      </c>
      <c r="G10" s="3" t="s">
        <v>3</v>
      </c>
      <c r="H10" s="3" t="s">
        <v>3</v>
      </c>
      <c r="I10" s="3" t="s">
        <v>3</v>
      </c>
      <c r="J10" s="3"/>
      <c r="K10" s="3"/>
      <c r="L10" s="3"/>
      <c r="M10" s="3"/>
      <c r="N10">
        <v>0</v>
      </c>
    </row>
    <row r="11" spans="1:14" x14ac:dyDescent="0.35">
      <c r="A11" s="1">
        <v>41548</v>
      </c>
      <c r="B11">
        <v>114.8</v>
      </c>
      <c r="C11" s="2">
        <v>6299.15</v>
      </c>
      <c r="D11">
        <f t="shared" si="0"/>
        <v>9.8312206859274909</v>
      </c>
      <c r="E11">
        <v>7.5</v>
      </c>
      <c r="F11" s="3" t="s">
        <v>3</v>
      </c>
      <c r="G11" s="3" t="s">
        <v>3</v>
      </c>
      <c r="H11" s="3" t="s">
        <v>3</v>
      </c>
      <c r="I11" s="3" t="s">
        <v>3</v>
      </c>
      <c r="J11" s="3"/>
      <c r="K11" s="3"/>
      <c r="L11" s="3"/>
      <c r="M11" s="3"/>
      <c r="N11">
        <v>0</v>
      </c>
    </row>
    <row r="12" spans="1:14" x14ac:dyDescent="0.35">
      <c r="A12" s="1">
        <v>41579</v>
      </c>
      <c r="B12">
        <v>116.3</v>
      </c>
      <c r="C12" s="2">
        <v>6176.1</v>
      </c>
      <c r="D12">
        <f t="shared" si="0"/>
        <v>-1.9534381622917263</v>
      </c>
      <c r="E12">
        <v>7.75</v>
      </c>
      <c r="F12" s="3" t="s">
        <v>3</v>
      </c>
      <c r="G12" s="3" t="s">
        <v>3</v>
      </c>
      <c r="H12" s="3" t="s">
        <v>3</v>
      </c>
      <c r="I12" s="3" t="s">
        <v>3</v>
      </c>
      <c r="J12" s="3"/>
      <c r="K12" s="3"/>
      <c r="L12" s="3"/>
      <c r="M12" s="3"/>
      <c r="N12">
        <v>0</v>
      </c>
    </row>
    <row r="13" spans="1:14" x14ac:dyDescent="0.35">
      <c r="A13" s="1">
        <v>41609</v>
      </c>
      <c r="B13">
        <v>114.5</v>
      </c>
      <c r="C13" s="2">
        <v>6304</v>
      </c>
      <c r="D13">
        <f t="shared" si="0"/>
        <v>2.0708861579313744</v>
      </c>
      <c r="E13">
        <v>7.75</v>
      </c>
      <c r="F13" s="3" t="s">
        <v>3</v>
      </c>
      <c r="G13" s="3" t="s">
        <v>3</v>
      </c>
      <c r="H13" s="3" t="s">
        <v>3</v>
      </c>
      <c r="I13" s="3" t="s">
        <v>3</v>
      </c>
      <c r="J13" s="23" t="s">
        <v>47</v>
      </c>
      <c r="K13" s="23"/>
      <c r="L13" s="23"/>
      <c r="M13" s="23"/>
      <c r="N13">
        <v>0</v>
      </c>
    </row>
    <row r="14" spans="1:14" x14ac:dyDescent="0.35">
      <c r="A14" s="1">
        <v>41640</v>
      </c>
      <c r="B14">
        <v>113.6</v>
      </c>
      <c r="C14" s="2">
        <v>6089.5</v>
      </c>
      <c r="D14">
        <f t="shared" si="0"/>
        <v>-3.4026015228426396</v>
      </c>
      <c r="E14">
        <v>7.75</v>
      </c>
      <c r="F14" s="3">
        <f t="shared" ref="F14:F45" si="1">(B14-B2)/B2 * 100</f>
        <v>8.6042065009560229</v>
      </c>
      <c r="G14" s="3" t="s">
        <v>3</v>
      </c>
      <c r="H14" s="3" t="str">
        <f>IF(F14&gt;6, "HIGH", "NORMAL")</f>
        <v>HIGH</v>
      </c>
      <c r="I14" s="3">
        <f>E14-F14</f>
        <v>-0.85420650095602291</v>
      </c>
      <c r="J14" s="18" t="s">
        <v>40</v>
      </c>
      <c r="K14" s="19" t="s">
        <v>41</v>
      </c>
      <c r="L14" s="18" t="s">
        <v>42</v>
      </c>
      <c r="M14" s="18" t="s">
        <v>43</v>
      </c>
      <c r="N14">
        <v>0</v>
      </c>
    </row>
    <row r="15" spans="1:14" x14ac:dyDescent="0.35">
      <c r="A15" s="1">
        <v>41671</v>
      </c>
      <c r="B15">
        <v>113.6</v>
      </c>
      <c r="C15" s="2">
        <v>6276.95</v>
      </c>
      <c r="D15">
        <f t="shared" si="0"/>
        <v>3.0782494457673013</v>
      </c>
      <c r="E15">
        <v>8</v>
      </c>
      <c r="F15" s="3">
        <f>(B15-B3)/B3 * 100</f>
        <v>7.8822412155745463</v>
      </c>
      <c r="G15">
        <f>F14</f>
        <v>8.6042065009560229</v>
      </c>
      <c r="H15" s="3" t="str">
        <f t="shared" ref="H15:H78" si="2">IF(F15&gt;6, "HIGH", "NORMAL")</f>
        <v>HIGH</v>
      </c>
      <c r="I15" s="3">
        <f t="shared" ref="I15:I78" si="3">E15-F15</f>
        <v>0.11775878442545373</v>
      </c>
      <c r="J15" s="20" t="s">
        <v>44</v>
      </c>
      <c r="K15" s="20">
        <f>COUNTIF(H14:H130,"NORMAL")</f>
        <v>82</v>
      </c>
      <c r="L15" s="21">
        <f>AVERAGEIF(H14:H130, "NORMAL", D14:D130)</f>
        <v>0.82989840559550054</v>
      </c>
      <c r="M15" s="20" cm="1">
        <f t="array" ref="M15">_xlfn.STDEV.S(IF(H14:H130="NORMAL", D14:D130))</f>
        <v>4.8298708223757369</v>
      </c>
      <c r="N15">
        <v>0</v>
      </c>
    </row>
    <row r="16" spans="1:14" x14ac:dyDescent="0.35">
      <c r="A16" s="1">
        <v>41699</v>
      </c>
      <c r="B16">
        <v>114.2</v>
      </c>
      <c r="C16" s="2">
        <v>6704.2</v>
      </c>
      <c r="D16">
        <f t="shared" si="0"/>
        <v>6.8066497263798498</v>
      </c>
      <c r="E16">
        <v>8</v>
      </c>
      <c r="F16" s="3">
        <f t="shared" si="1"/>
        <v>8.2464454976303347</v>
      </c>
      <c r="G16">
        <f t="shared" ref="G16:G79" si="4">F15</f>
        <v>7.8822412155745463</v>
      </c>
      <c r="H16" s="3" t="str">
        <f t="shared" si="2"/>
        <v>HIGH</v>
      </c>
      <c r="I16" s="3">
        <f t="shared" si="3"/>
        <v>-0.24644549763033474</v>
      </c>
      <c r="J16" s="20" t="s">
        <v>46</v>
      </c>
      <c r="K16" s="21">
        <f>COUNTIF(H14:H130, "HIGH")</f>
        <v>35</v>
      </c>
      <c r="L16" s="21">
        <f>AVERAGEIF(H14:H130, "HIGH", D14:D130)</f>
        <v>1.6979894098904795</v>
      </c>
      <c r="M16" s="21" cm="1">
        <f t="array" ref="M16">_xlfn.STDEV.S(IF(H14:H130="HIGH", D14:D130))</f>
        <v>4.4904869823033025</v>
      </c>
      <c r="N16">
        <v>0</v>
      </c>
    </row>
    <row r="17" spans="1:15" x14ac:dyDescent="0.35">
      <c r="A17" s="1">
        <v>41730</v>
      </c>
      <c r="B17">
        <v>115.1</v>
      </c>
      <c r="C17" s="2">
        <v>6696.4</v>
      </c>
      <c r="D17">
        <f t="shared" si="0"/>
        <v>-0.11634497777512877</v>
      </c>
      <c r="E17">
        <v>8</v>
      </c>
      <c r="F17" s="3">
        <f t="shared" si="1"/>
        <v>8.482563619227145</v>
      </c>
      <c r="G17">
        <f t="shared" si="4"/>
        <v>8.2464454976303347</v>
      </c>
      <c r="H17" s="3" t="str">
        <f t="shared" si="2"/>
        <v>HIGH</v>
      </c>
      <c r="I17" s="3">
        <f t="shared" si="3"/>
        <v>-0.48256361922714497</v>
      </c>
      <c r="J17" s="23" t="s">
        <v>48</v>
      </c>
      <c r="K17" s="23"/>
      <c r="L17" s="23"/>
      <c r="M17" s="23"/>
      <c r="N17">
        <v>0</v>
      </c>
    </row>
    <row r="18" spans="1:15" x14ac:dyDescent="0.35">
      <c r="A18" s="1">
        <v>41760</v>
      </c>
      <c r="B18">
        <v>115.8</v>
      </c>
      <c r="C18" s="2">
        <v>7229.95</v>
      </c>
      <c r="D18">
        <f t="shared" si="0"/>
        <v>7.9677139955797172</v>
      </c>
      <c r="E18">
        <v>8</v>
      </c>
      <c r="F18" s="3">
        <f t="shared" si="1"/>
        <v>8.3255378858746418</v>
      </c>
      <c r="G18">
        <f t="shared" si="4"/>
        <v>8.482563619227145</v>
      </c>
      <c r="H18" s="3" t="str">
        <f t="shared" si="2"/>
        <v>HIGH</v>
      </c>
      <c r="I18" s="3">
        <f t="shared" si="3"/>
        <v>-0.32553788587464183</v>
      </c>
      <c r="J18" s="24">
        <f>CORREL(G14:G130, D14:D130)</f>
        <v>5.1613356002317125E-2</v>
      </c>
      <c r="K18" s="24"/>
      <c r="L18" s="24"/>
      <c r="M18" s="24"/>
      <c r="N18">
        <v>0</v>
      </c>
    </row>
    <row r="19" spans="1:15" x14ac:dyDescent="0.35">
      <c r="A19" s="1">
        <v>41791</v>
      </c>
      <c r="B19">
        <v>116.7</v>
      </c>
      <c r="C19" s="2">
        <v>7611.35</v>
      </c>
      <c r="D19">
        <f t="shared" si="0"/>
        <v>5.2752785288971644</v>
      </c>
      <c r="E19">
        <v>8</v>
      </c>
      <c r="F19" s="3">
        <f t="shared" si="1"/>
        <v>6.7703568161024759</v>
      </c>
      <c r="G19">
        <f t="shared" si="4"/>
        <v>8.3255378858746418</v>
      </c>
      <c r="H19" s="3" t="str">
        <f t="shared" si="2"/>
        <v>HIGH</v>
      </c>
      <c r="I19" s="3">
        <f t="shared" si="3"/>
        <v>1.2296431838975241</v>
      </c>
      <c r="J19" s="3"/>
      <c r="K19" s="3"/>
      <c r="L19" s="3"/>
      <c r="N19">
        <v>0</v>
      </c>
      <c r="O19" s="3"/>
    </row>
    <row r="20" spans="1:15" x14ac:dyDescent="0.35">
      <c r="A20" s="1">
        <v>41821</v>
      </c>
      <c r="B20">
        <v>119.2</v>
      </c>
      <c r="C20" s="2">
        <v>7721.3</v>
      </c>
      <c r="D20">
        <f t="shared" si="0"/>
        <v>1.4445532001550292</v>
      </c>
      <c r="E20">
        <v>8</v>
      </c>
      <c r="F20" s="3">
        <f t="shared" si="1"/>
        <v>7.3873873873873901</v>
      </c>
      <c r="G20">
        <f t="shared" si="4"/>
        <v>6.7703568161024759</v>
      </c>
      <c r="H20" s="3" t="str">
        <f t="shared" si="2"/>
        <v>HIGH</v>
      </c>
      <c r="I20" s="3">
        <f t="shared" si="3"/>
        <v>0.61261261261260991</v>
      </c>
      <c r="J20" s="3"/>
      <c r="K20" s="3"/>
      <c r="L20" s="3"/>
      <c r="N20">
        <v>0</v>
      </c>
    </row>
    <row r="21" spans="1:15" x14ac:dyDescent="0.35">
      <c r="A21" s="1">
        <v>41852</v>
      </c>
      <c r="B21">
        <v>120.3</v>
      </c>
      <c r="C21" s="2">
        <v>7954.35</v>
      </c>
      <c r="D21">
        <f t="shared" si="0"/>
        <v>3.0182741248235425</v>
      </c>
      <c r="E21">
        <v>8</v>
      </c>
      <c r="F21" s="3">
        <f t="shared" si="1"/>
        <v>7.0284697508896725</v>
      </c>
      <c r="G21">
        <f t="shared" si="4"/>
        <v>7.3873873873873901</v>
      </c>
      <c r="H21" s="3" t="str">
        <f t="shared" si="2"/>
        <v>HIGH</v>
      </c>
      <c r="I21" s="3">
        <f t="shared" si="3"/>
        <v>0.97153024911032748</v>
      </c>
      <c r="J21" s="3"/>
      <c r="K21" s="3"/>
      <c r="L21" s="3"/>
      <c r="M21" s="3"/>
      <c r="N21">
        <v>0</v>
      </c>
    </row>
    <row r="22" spans="1:15" x14ac:dyDescent="0.35">
      <c r="A22" s="1">
        <v>41883</v>
      </c>
      <c r="B22">
        <v>120.1</v>
      </c>
      <c r="C22" s="2">
        <v>7964.8</v>
      </c>
      <c r="D22">
        <f t="shared" si="0"/>
        <v>0.13137465663441789</v>
      </c>
      <c r="E22">
        <v>8</v>
      </c>
      <c r="F22" s="3">
        <f t="shared" si="1"/>
        <v>5.6288478452066766</v>
      </c>
      <c r="G22">
        <f t="shared" si="4"/>
        <v>7.0284697508896725</v>
      </c>
      <c r="H22" s="3" t="str">
        <f t="shared" si="2"/>
        <v>NORMAL</v>
      </c>
      <c r="I22" s="3">
        <f t="shared" si="3"/>
        <v>2.3711521547933234</v>
      </c>
      <c r="J22" s="3"/>
      <c r="K22" s="3"/>
      <c r="L22" s="3"/>
      <c r="M22" s="3"/>
      <c r="N22">
        <v>0</v>
      </c>
    </row>
    <row r="23" spans="1:15" x14ac:dyDescent="0.35">
      <c r="A23" s="1">
        <v>41913</v>
      </c>
      <c r="B23">
        <v>120.1</v>
      </c>
      <c r="C23" s="2">
        <v>8322.2000000000007</v>
      </c>
      <c r="D23">
        <f t="shared" si="0"/>
        <v>4.4872438730413888</v>
      </c>
      <c r="E23">
        <v>8</v>
      </c>
      <c r="F23" s="3">
        <f t="shared" si="1"/>
        <v>4.6167247386759556</v>
      </c>
      <c r="G23">
        <f t="shared" si="4"/>
        <v>5.6288478452066766</v>
      </c>
      <c r="H23" s="3" t="str">
        <f t="shared" si="2"/>
        <v>NORMAL</v>
      </c>
      <c r="I23" s="3">
        <f t="shared" si="3"/>
        <v>3.3832752613240444</v>
      </c>
      <c r="J23" s="3"/>
      <c r="K23" s="3"/>
      <c r="L23" s="3"/>
      <c r="M23" s="3"/>
      <c r="N23">
        <v>0</v>
      </c>
    </row>
    <row r="24" spans="1:15" x14ac:dyDescent="0.35">
      <c r="A24" s="1">
        <v>41944</v>
      </c>
      <c r="B24">
        <v>120.1</v>
      </c>
      <c r="C24" s="2">
        <v>8588.25</v>
      </c>
      <c r="D24">
        <f t="shared" si="0"/>
        <v>3.1968710196822867</v>
      </c>
      <c r="E24">
        <v>8</v>
      </c>
      <c r="F24" s="3">
        <f t="shared" si="1"/>
        <v>3.2674118658641422</v>
      </c>
      <c r="G24">
        <f t="shared" si="4"/>
        <v>4.6167247386759556</v>
      </c>
      <c r="H24" s="3" t="str">
        <f t="shared" si="2"/>
        <v>NORMAL</v>
      </c>
      <c r="I24" s="3">
        <f t="shared" si="3"/>
        <v>4.7325881341358578</v>
      </c>
      <c r="J24" s="3"/>
      <c r="K24" s="3"/>
      <c r="L24" s="3"/>
      <c r="M24" s="3"/>
      <c r="N24">
        <v>0</v>
      </c>
    </row>
    <row r="25" spans="1:15" x14ac:dyDescent="0.35">
      <c r="A25" s="1">
        <v>41974</v>
      </c>
      <c r="B25">
        <v>119.4</v>
      </c>
      <c r="C25" s="2">
        <v>8282.7000000000007</v>
      </c>
      <c r="D25">
        <f t="shared" si="0"/>
        <v>-3.5577678805344424</v>
      </c>
      <c r="E25">
        <v>8</v>
      </c>
      <c r="F25" s="3">
        <f t="shared" si="1"/>
        <v>4.2794759825327562</v>
      </c>
      <c r="G25">
        <f t="shared" si="4"/>
        <v>3.2674118658641422</v>
      </c>
      <c r="H25" s="3" t="str">
        <f t="shared" si="2"/>
        <v>NORMAL</v>
      </c>
      <c r="I25" s="3">
        <f t="shared" si="3"/>
        <v>3.7205240174672438</v>
      </c>
      <c r="J25" s="3"/>
      <c r="K25" s="3"/>
      <c r="L25" s="3"/>
      <c r="M25" s="3"/>
      <c r="N25">
        <v>0</v>
      </c>
    </row>
    <row r="26" spans="1:15" x14ac:dyDescent="0.35">
      <c r="A26" s="1">
        <v>42005</v>
      </c>
      <c r="B26">
        <v>119.5</v>
      </c>
      <c r="C26" s="2">
        <v>8808.9</v>
      </c>
      <c r="D26">
        <f t="shared" si="0"/>
        <v>6.3530008330616683</v>
      </c>
      <c r="E26">
        <v>8</v>
      </c>
      <c r="F26" s="3">
        <f t="shared" si="1"/>
        <v>5.1936619718309913</v>
      </c>
      <c r="G26">
        <f t="shared" si="4"/>
        <v>4.2794759825327562</v>
      </c>
      <c r="H26" s="3" t="str">
        <f t="shared" si="2"/>
        <v>NORMAL</v>
      </c>
      <c r="I26" s="3">
        <f t="shared" si="3"/>
        <v>2.8063380281690087</v>
      </c>
      <c r="J26" s="3"/>
      <c r="K26" s="3"/>
      <c r="L26" s="3"/>
      <c r="M26" s="3"/>
      <c r="N26">
        <v>0</v>
      </c>
    </row>
    <row r="27" spans="1:15" x14ac:dyDescent="0.35">
      <c r="A27" s="1">
        <v>42036</v>
      </c>
      <c r="B27">
        <v>119.7</v>
      </c>
      <c r="C27" s="2">
        <v>8901.85</v>
      </c>
      <c r="D27">
        <f t="shared" si="0"/>
        <v>1.0551828264596117</v>
      </c>
      <c r="E27">
        <v>7.75</v>
      </c>
      <c r="F27" s="3">
        <f t="shared" si="1"/>
        <v>5.369718309859163</v>
      </c>
      <c r="G27">
        <f t="shared" si="4"/>
        <v>5.1936619718309913</v>
      </c>
      <c r="H27" s="3" t="str">
        <f t="shared" si="2"/>
        <v>NORMAL</v>
      </c>
      <c r="I27" s="3">
        <f t="shared" si="3"/>
        <v>2.380281690140837</v>
      </c>
      <c r="J27" s="3"/>
      <c r="K27" s="3"/>
      <c r="L27" s="3"/>
      <c r="M27" s="3"/>
      <c r="N27">
        <v>0</v>
      </c>
    </row>
    <row r="28" spans="1:15" x14ac:dyDescent="0.35">
      <c r="A28" s="1">
        <v>42064</v>
      </c>
      <c r="B28">
        <v>120.2</v>
      </c>
      <c r="C28" s="2">
        <v>8491</v>
      </c>
      <c r="D28">
        <f t="shared" si="0"/>
        <v>-4.6153327679077982</v>
      </c>
      <c r="E28">
        <v>7.5</v>
      </c>
      <c r="F28" s="3">
        <f t="shared" si="1"/>
        <v>5.2539404553415059</v>
      </c>
      <c r="G28">
        <f t="shared" si="4"/>
        <v>5.369718309859163</v>
      </c>
      <c r="H28" s="3" t="str">
        <f t="shared" si="2"/>
        <v>NORMAL</v>
      </c>
      <c r="I28" s="3">
        <f t="shared" si="3"/>
        <v>2.2460595446584941</v>
      </c>
      <c r="J28" s="3"/>
      <c r="K28" s="3"/>
      <c r="L28" s="3"/>
      <c r="M28" s="3"/>
      <c r="N28">
        <v>0</v>
      </c>
    </row>
    <row r="29" spans="1:15" x14ac:dyDescent="0.35">
      <c r="A29" s="1">
        <v>42095</v>
      </c>
      <c r="B29">
        <v>120.7</v>
      </c>
      <c r="C29" s="2">
        <v>8181.5</v>
      </c>
      <c r="D29">
        <f t="shared" si="0"/>
        <v>-3.6450359203862917</v>
      </c>
      <c r="E29">
        <v>7.5</v>
      </c>
      <c r="F29" s="3">
        <f t="shared" si="1"/>
        <v>4.8653344917463155</v>
      </c>
      <c r="G29">
        <f t="shared" si="4"/>
        <v>5.2539404553415059</v>
      </c>
      <c r="H29" s="3" t="str">
        <f t="shared" si="2"/>
        <v>NORMAL</v>
      </c>
      <c r="I29" s="3">
        <f t="shared" si="3"/>
        <v>2.6346655082536845</v>
      </c>
      <c r="J29" s="3"/>
      <c r="K29" s="3"/>
      <c r="L29" s="3"/>
      <c r="M29" s="3"/>
      <c r="N29">
        <v>0</v>
      </c>
    </row>
    <row r="30" spans="1:15" x14ac:dyDescent="0.35">
      <c r="A30" s="1">
        <v>42125</v>
      </c>
      <c r="B30">
        <v>121.6</v>
      </c>
      <c r="C30" s="2">
        <v>8433.65</v>
      </c>
      <c r="D30">
        <f t="shared" si="0"/>
        <v>3.0819531870683816</v>
      </c>
      <c r="E30">
        <v>7.5</v>
      </c>
      <c r="F30" s="3">
        <f t="shared" si="1"/>
        <v>5.0086355785837631</v>
      </c>
      <c r="G30">
        <f t="shared" si="4"/>
        <v>4.8653344917463155</v>
      </c>
      <c r="H30" s="3" t="str">
        <f t="shared" si="2"/>
        <v>NORMAL</v>
      </c>
      <c r="I30" s="3">
        <f t="shared" si="3"/>
        <v>2.4913644214162369</v>
      </c>
      <c r="J30" s="3"/>
      <c r="K30" s="3"/>
      <c r="L30" s="3"/>
      <c r="M30" s="3"/>
      <c r="N30">
        <v>0</v>
      </c>
    </row>
    <row r="31" spans="1:15" x14ac:dyDescent="0.35">
      <c r="A31" s="1">
        <v>42156</v>
      </c>
      <c r="B31">
        <v>123</v>
      </c>
      <c r="C31" s="2">
        <v>8368.5</v>
      </c>
      <c r="D31">
        <f t="shared" si="0"/>
        <v>-0.77250063732784313</v>
      </c>
      <c r="E31">
        <v>7.25</v>
      </c>
      <c r="F31" s="3">
        <f t="shared" si="1"/>
        <v>5.3984575835475548</v>
      </c>
      <c r="G31">
        <f t="shared" si="4"/>
        <v>5.0086355785837631</v>
      </c>
      <c r="H31" s="3" t="str">
        <f t="shared" si="2"/>
        <v>NORMAL</v>
      </c>
      <c r="I31" s="3">
        <f t="shared" si="3"/>
        <v>1.8515424164524452</v>
      </c>
      <c r="J31" s="3"/>
      <c r="K31" s="3"/>
      <c r="L31" s="3"/>
      <c r="M31" s="3"/>
      <c r="N31">
        <v>0</v>
      </c>
    </row>
    <row r="32" spans="1:15" x14ac:dyDescent="0.35">
      <c r="A32" s="1">
        <v>42186</v>
      </c>
      <c r="B32">
        <v>123.6</v>
      </c>
      <c r="C32" s="2">
        <v>8532.85</v>
      </c>
      <c r="D32">
        <f t="shared" si="0"/>
        <v>1.9639122901356321</v>
      </c>
      <c r="E32">
        <v>7.25</v>
      </c>
      <c r="F32" s="3">
        <f t="shared" si="1"/>
        <v>3.6912751677852276</v>
      </c>
      <c r="G32">
        <f t="shared" si="4"/>
        <v>5.3984575835475548</v>
      </c>
      <c r="H32" s="3" t="str">
        <f t="shared" si="2"/>
        <v>NORMAL</v>
      </c>
      <c r="I32" s="3">
        <f t="shared" si="3"/>
        <v>3.5587248322147724</v>
      </c>
      <c r="J32" s="3"/>
      <c r="K32" s="3"/>
      <c r="L32" s="3"/>
      <c r="M32" s="3"/>
      <c r="N32">
        <v>0</v>
      </c>
    </row>
    <row r="33" spans="1:14" x14ac:dyDescent="0.35">
      <c r="A33" s="1">
        <v>42217</v>
      </c>
      <c r="B33">
        <v>124.8</v>
      </c>
      <c r="C33" s="2">
        <v>7971.3</v>
      </c>
      <c r="D33">
        <f t="shared" si="0"/>
        <v>-6.5810368165384379</v>
      </c>
      <c r="E33">
        <v>7.25</v>
      </c>
      <c r="F33" s="3">
        <f t="shared" si="1"/>
        <v>3.7406483790523692</v>
      </c>
      <c r="G33">
        <f t="shared" si="4"/>
        <v>3.6912751677852276</v>
      </c>
      <c r="H33" s="3" t="str">
        <f t="shared" si="2"/>
        <v>NORMAL</v>
      </c>
      <c r="I33" s="3">
        <f t="shared" si="3"/>
        <v>3.5093516209476308</v>
      </c>
      <c r="J33" s="3"/>
      <c r="K33" s="3"/>
      <c r="L33" s="3"/>
      <c r="M33" s="3"/>
      <c r="N33">
        <v>0</v>
      </c>
    </row>
    <row r="34" spans="1:14" x14ac:dyDescent="0.35">
      <c r="A34" s="1">
        <v>42248</v>
      </c>
      <c r="B34">
        <v>125.4</v>
      </c>
      <c r="C34" s="2">
        <v>7948.9</v>
      </c>
      <c r="D34">
        <f t="shared" si="0"/>
        <v>-0.28100811661837521</v>
      </c>
      <c r="E34">
        <v>7.25</v>
      </c>
      <c r="F34" s="3">
        <f t="shared" si="1"/>
        <v>4.4129891756869366</v>
      </c>
      <c r="G34">
        <f t="shared" si="4"/>
        <v>3.7406483790523692</v>
      </c>
      <c r="H34" s="3" t="str">
        <f t="shared" si="2"/>
        <v>NORMAL</v>
      </c>
      <c r="I34" s="3">
        <f t="shared" si="3"/>
        <v>2.8370108243130634</v>
      </c>
      <c r="J34" s="3"/>
      <c r="K34" s="3"/>
      <c r="L34" s="3"/>
      <c r="M34" s="3"/>
      <c r="N34">
        <v>0</v>
      </c>
    </row>
    <row r="35" spans="1:14" x14ac:dyDescent="0.35">
      <c r="A35" s="1">
        <v>42278</v>
      </c>
      <c r="B35">
        <v>126.1</v>
      </c>
      <c r="C35" s="2">
        <v>8065.8</v>
      </c>
      <c r="D35">
        <f t="shared" si="0"/>
        <v>1.4706437368692593</v>
      </c>
      <c r="E35">
        <v>6.75</v>
      </c>
      <c r="F35" s="3">
        <f t="shared" si="1"/>
        <v>4.9958368026644466</v>
      </c>
      <c r="G35">
        <f t="shared" si="4"/>
        <v>4.4129891756869366</v>
      </c>
      <c r="H35" s="3" t="str">
        <f t="shared" si="2"/>
        <v>NORMAL</v>
      </c>
      <c r="I35" s="3">
        <f t="shared" si="3"/>
        <v>1.7541631973355534</v>
      </c>
      <c r="J35" s="3"/>
      <c r="K35" s="3"/>
      <c r="L35" s="3"/>
      <c r="M35" s="3"/>
      <c r="N35">
        <v>0</v>
      </c>
    </row>
    <row r="36" spans="1:14" x14ac:dyDescent="0.35">
      <c r="A36" s="1">
        <v>42309</v>
      </c>
      <c r="B36">
        <v>126.6</v>
      </c>
      <c r="C36" s="2">
        <v>7935.25</v>
      </c>
      <c r="D36">
        <f t="shared" si="0"/>
        <v>-1.6185623248778818</v>
      </c>
      <c r="E36">
        <v>6.75</v>
      </c>
      <c r="F36" s="3">
        <f t="shared" si="1"/>
        <v>5.4121565362198174</v>
      </c>
      <c r="G36">
        <f t="shared" si="4"/>
        <v>4.9958368026644466</v>
      </c>
      <c r="H36" s="3" t="str">
        <f t="shared" si="2"/>
        <v>NORMAL</v>
      </c>
      <c r="I36" s="3">
        <f t="shared" si="3"/>
        <v>1.3378434637801826</v>
      </c>
      <c r="J36" s="3"/>
      <c r="K36" s="3"/>
      <c r="L36" s="3"/>
      <c r="M36" s="3"/>
      <c r="N36">
        <v>0</v>
      </c>
    </row>
    <row r="37" spans="1:14" x14ac:dyDescent="0.35">
      <c r="A37" s="1">
        <v>42339</v>
      </c>
      <c r="B37">
        <v>126.1</v>
      </c>
      <c r="C37" s="2">
        <v>7946.35</v>
      </c>
      <c r="D37">
        <f t="shared" si="0"/>
        <v>0.13988217132415948</v>
      </c>
      <c r="E37">
        <v>6.75</v>
      </c>
      <c r="F37" s="3">
        <f t="shared" si="1"/>
        <v>5.6113902847571087</v>
      </c>
      <c r="G37">
        <f t="shared" si="4"/>
        <v>5.4121565362198174</v>
      </c>
      <c r="H37" s="3" t="str">
        <f t="shared" si="2"/>
        <v>NORMAL</v>
      </c>
      <c r="I37" s="3">
        <f t="shared" si="3"/>
        <v>1.1386097152428913</v>
      </c>
      <c r="J37" s="3"/>
      <c r="K37" s="3"/>
      <c r="L37" s="3"/>
      <c r="M37" s="3"/>
      <c r="N37">
        <v>0</v>
      </c>
    </row>
    <row r="38" spans="1:14" x14ac:dyDescent="0.35">
      <c r="A38" s="1">
        <v>42370</v>
      </c>
      <c r="B38">
        <v>126.3</v>
      </c>
      <c r="C38" s="2">
        <v>7563.55</v>
      </c>
      <c r="D38">
        <f t="shared" si="0"/>
        <v>-4.8173060587565386</v>
      </c>
      <c r="E38">
        <v>6.75</v>
      </c>
      <c r="F38" s="3">
        <f t="shared" si="1"/>
        <v>5.690376569037654</v>
      </c>
      <c r="G38">
        <f t="shared" si="4"/>
        <v>5.6113902847571087</v>
      </c>
      <c r="H38" s="3" t="str">
        <f t="shared" si="2"/>
        <v>NORMAL</v>
      </c>
      <c r="I38" s="3">
        <f t="shared" si="3"/>
        <v>1.059623430962346</v>
      </c>
      <c r="J38" s="3"/>
      <c r="K38" s="3"/>
      <c r="L38" s="3"/>
      <c r="M38" s="3"/>
      <c r="N38">
        <v>0</v>
      </c>
    </row>
    <row r="39" spans="1:14" x14ac:dyDescent="0.35">
      <c r="A39" s="1">
        <v>42401</v>
      </c>
      <c r="B39">
        <v>126</v>
      </c>
      <c r="C39" s="2">
        <v>6987.05</v>
      </c>
      <c r="D39">
        <f t="shared" si="0"/>
        <v>-7.6220822232946173</v>
      </c>
      <c r="E39">
        <v>6.75</v>
      </c>
      <c r="F39" s="3">
        <f t="shared" si="1"/>
        <v>5.2631578947368398</v>
      </c>
      <c r="G39">
        <f t="shared" si="4"/>
        <v>5.690376569037654</v>
      </c>
      <c r="H39" s="3" t="str">
        <f t="shared" si="2"/>
        <v>NORMAL</v>
      </c>
      <c r="I39" s="3">
        <f t="shared" si="3"/>
        <v>1.4868421052631602</v>
      </c>
      <c r="J39" s="3"/>
      <c r="K39" s="3"/>
      <c r="L39" s="3"/>
      <c r="M39" s="3"/>
      <c r="N39">
        <v>0</v>
      </c>
    </row>
    <row r="40" spans="1:14" x14ac:dyDescent="0.35">
      <c r="A40" s="1">
        <v>42430</v>
      </c>
      <c r="B40">
        <v>126</v>
      </c>
      <c r="C40" s="2">
        <v>7738.4</v>
      </c>
      <c r="D40">
        <f t="shared" si="0"/>
        <v>10.753465339449402</v>
      </c>
      <c r="E40">
        <v>6.75</v>
      </c>
      <c r="F40" s="3">
        <f t="shared" si="1"/>
        <v>4.8252911813643902</v>
      </c>
      <c r="G40">
        <f t="shared" si="4"/>
        <v>5.2631578947368398</v>
      </c>
      <c r="H40" s="3" t="str">
        <f t="shared" si="2"/>
        <v>NORMAL</v>
      </c>
      <c r="I40" s="3">
        <f t="shared" si="3"/>
        <v>1.9247088186356098</v>
      </c>
      <c r="J40" s="3"/>
      <c r="K40" s="3"/>
      <c r="L40" s="3"/>
      <c r="M40" s="3"/>
      <c r="N40">
        <v>0</v>
      </c>
    </row>
    <row r="41" spans="1:14" x14ac:dyDescent="0.35">
      <c r="A41" s="1">
        <v>42461</v>
      </c>
      <c r="B41">
        <v>127.3</v>
      </c>
      <c r="C41" s="2">
        <v>7849.8</v>
      </c>
      <c r="D41">
        <f t="shared" si="0"/>
        <v>1.4395740721596266</v>
      </c>
      <c r="E41">
        <v>6.5</v>
      </c>
      <c r="F41" s="3">
        <f t="shared" si="1"/>
        <v>5.4681027340513628</v>
      </c>
      <c r="G41">
        <f t="shared" si="4"/>
        <v>4.8252911813643902</v>
      </c>
      <c r="H41" s="3" t="str">
        <f t="shared" si="2"/>
        <v>NORMAL</v>
      </c>
      <c r="I41" s="3">
        <f t="shared" si="3"/>
        <v>1.0318972659486372</v>
      </c>
      <c r="J41" s="3"/>
      <c r="K41" s="3"/>
      <c r="L41" s="3"/>
      <c r="M41" s="3"/>
      <c r="N41">
        <v>0</v>
      </c>
    </row>
    <row r="42" spans="1:14" x14ac:dyDescent="0.35">
      <c r="A42" s="1">
        <v>42491</v>
      </c>
      <c r="B42">
        <v>128.6</v>
      </c>
      <c r="C42" s="2">
        <v>8160.1</v>
      </c>
      <c r="D42">
        <f t="shared" si="0"/>
        <v>3.9529669545720929</v>
      </c>
      <c r="E42">
        <v>6.5</v>
      </c>
      <c r="F42" s="3">
        <f t="shared" si="1"/>
        <v>5.7565789473684212</v>
      </c>
      <c r="G42">
        <f t="shared" si="4"/>
        <v>5.4681027340513628</v>
      </c>
      <c r="H42" s="3" t="str">
        <f t="shared" si="2"/>
        <v>NORMAL</v>
      </c>
      <c r="I42" s="3">
        <f t="shared" si="3"/>
        <v>0.74342105263157876</v>
      </c>
      <c r="J42" s="3"/>
      <c r="K42" s="3"/>
      <c r="L42" s="3"/>
      <c r="M42" s="3"/>
      <c r="N42">
        <v>0</v>
      </c>
    </row>
    <row r="43" spans="1:14" x14ac:dyDescent="0.35">
      <c r="A43" s="1">
        <v>42522</v>
      </c>
      <c r="B43">
        <v>130.1</v>
      </c>
      <c r="C43" s="2">
        <v>8287.75</v>
      </c>
      <c r="D43">
        <f t="shared" si="0"/>
        <v>1.5643190647173395</v>
      </c>
      <c r="E43">
        <v>6.5</v>
      </c>
      <c r="F43" s="3">
        <f t="shared" si="1"/>
        <v>5.7723577235772305</v>
      </c>
      <c r="G43">
        <f t="shared" si="4"/>
        <v>5.7565789473684212</v>
      </c>
      <c r="H43" s="3" t="str">
        <f t="shared" si="2"/>
        <v>NORMAL</v>
      </c>
      <c r="I43" s="3">
        <f t="shared" si="3"/>
        <v>0.72764227642276946</v>
      </c>
      <c r="J43" s="3"/>
      <c r="K43" s="3"/>
      <c r="L43" s="3"/>
      <c r="M43" s="3"/>
      <c r="N43">
        <v>0</v>
      </c>
    </row>
    <row r="44" spans="1:14" x14ac:dyDescent="0.35">
      <c r="A44" s="1">
        <v>42552</v>
      </c>
      <c r="B44">
        <v>131.1</v>
      </c>
      <c r="C44" s="2">
        <v>8638.5</v>
      </c>
      <c r="D44">
        <f t="shared" si="0"/>
        <v>4.2321498597327381</v>
      </c>
      <c r="E44">
        <v>6.5</v>
      </c>
      <c r="F44" s="3">
        <f t="shared" si="1"/>
        <v>6.0679611650485441</v>
      </c>
      <c r="G44">
        <f t="shared" si="4"/>
        <v>5.7723577235772305</v>
      </c>
      <c r="H44" s="3" t="str">
        <f t="shared" si="2"/>
        <v>HIGH</v>
      </c>
      <c r="I44" s="3">
        <f t="shared" si="3"/>
        <v>0.4320388349514559</v>
      </c>
      <c r="J44" s="3"/>
      <c r="K44" s="3"/>
      <c r="L44" s="3"/>
      <c r="M44" s="3"/>
      <c r="N44">
        <v>0</v>
      </c>
    </row>
    <row r="45" spans="1:14" x14ac:dyDescent="0.35">
      <c r="A45" s="1">
        <v>42583</v>
      </c>
      <c r="B45">
        <v>131.1</v>
      </c>
      <c r="C45" s="2">
        <v>8786.2000000000007</v>
      </c>
      <c r="D45">
        <f t="shared" si="0"/>
        <v>1.7097875788620791</v>
      </c>
      <c r="E45">
        <v>6.5</v>
      </c>
      <c r="F45" s="3">
        <f t="shared" si="1"/>
        <v>5.0480769230769207</v>
      </c>
      <c r="G45">
        <f t="shared" si="4"/>
        <v>6.0679611650485441</v>
      </c>
      <c r="H45" s="3" t="str">
        <f t="shared" si="2"/>
        <v>NORMAL</v>
      </c>
      <c r="I45" s="3">
        <f t="shared" si="3"/>
        <v>1.4519230769230793</v>
      </c>
      <c r="J45" s="3"/>
      <c r="K45" s="3"/>
      <c r="L45" s="3"/>
      <c r="M45" s="3"/>
      <c r="N45">
        <v>0</v>
      </c>
    </row>
    <row r="46" spans="1:14" x14ac:dyDescent="0.35">
      <c r="A46" s="1">
        <v>42614</v>
      </c>
      <c r="B46">
        <v>130.9</v>
      </c>
      <c r="C46" s="2">
        <v>8611.15</v>
      </c>
      <c r="D46">
        <f t="shared" si="0"/>
        <v>-1.9923288793790386</v>
      </c>
      <c r="E46">
        <v>6.5</v>
      </c>
      <c r="F46" s="3">
        <f t="shared" ref="F46:F77" si="5">(B46-B34)/B34 * 100</f>
        <v>4.3859649122807012</v>
      </c>
      <c r="G46">
        <f t="shared" si="4"/>
        <v>5.0480769230769207</v>
      </c>
      <c r="H46" s="3" t="str">
        <f t="shared" si="2"/>
        <v>NORMAL</v>
      </c>
      <c r="I46" s="3">
        <f t="shared" si="3"/>
        <v>2.1140350877192988</v>
      </c>
      <c r="J46" s="3"/>
      <c r="K46" s="3"/>
      <c r="L46" s="3"/>
      <c r="M46" s="3"/>
      <c r="N46">
        <v>0</v>
      </c>
    </row>
    <row r="47" spans="1:14" x14ac:dyDescent="0.35">
      <c r="A47" s="1">
        <v>42644</v>
      </c>
      <c r="B47">
        <v>131.4</v>
      </c>
      <c r="C47" s="2">
        <v>8625.7000000000007</v>
      </c>
      <c r="D47">
        <f t="shared" si="0"/>
        <v>0.16896697885881781</v>
      </c>
      <c r="E47">
        <v>6.25</v>
      </c>
      <c r="F47" s="3">
        <f t="shared" si="5"/>
        <v>4.2030134813640059</v>
      </c>
      <c r="G47">
        <f t="shared" si="4"/>
        <v>4.3859649122807012</v>
      </c>
      <c r="H47" s="3" t="str">
        <f t="shared" si="2"/>
        <v>NORMAL</v>
      </c>
      <c r="I47" s="3">
        <f t="shared" si="3"/>
        <v>2.0469865186359941</v>
      </c>
      <c r="J47" s="3"/>
      <c r="K47" s="3"/>
      <c r="L47" s="3"/>
      <c r="M47" s="3"/>
      <c r="N47">
        <v>0</v>
      </c>
    </row>
    <row r="48" spans="1:14" x14ac:dyDescent="0.35">
      <c r="A48" s="1">
        <v>42675</v>
      </c>
      <c r="B48">
        <v>131.19999999999999</v>
      </c>
      <c r="C48" s="2">
        <v>8224.5</v>
      </c>
      <c r="D48">
        <f t="shared" si="0"/>
        <v>-4.6512167128465016</v>
      </c>
      <c r="E48">
        <v>6.25</v>
      </c>
      <c r="F48" s="3">
        <f t="shared" si="5"/>
        <v>3.6334913112164253</v>
      </c>
      <c r="G48">
        <f t="shared" si="4"/>
        <v>4.2030134813640059</v>
      </c>
      <c r="H48" s="3" t="str">
        <f t="shared" si="2"/>
        <v>NORMAL</v>
      </c>
      <c r="I48" s="3">
        <f t="shared" si="3"/>
        <v>2.6165086887835747</v>
      </c>
      <c r="J48" s="3"/>
      <c r="K48" s="3"/>
      <c r="L48" s="3"/>
      <c r="M48" s="3"/>
      <c r="N48">
        <v>0</v>
      </c>
    </row>
    <row r="49" spans="1:14" x14ac:dyDescent="0.35">
      <c r="A49" s="1">
        <v>42705</v>
      </c>
      <c r="B49">
        <v>130.4</v>
      </c>
      <c r="C49" s="2">
        <v>8185.8</v>
      </c>
      <c r="D49">
        <f t="shared" si="0"/>
        <v>-0.47054532190406495</v>
      </c>
      <c r="E49">
        <v>6.25</v>
      </c>
      <c r="F49" s="3">
        <f t="shared" si="5"/>
        <v>3.4099920697858934</v>
      </c>
      <c r="G49">
        <f t="shared" si="4"/>
        <v>3.6334913112164253</v>
      </c>
      <c r="H49" s="3" t="str">
        <f t="shared" si="2"/>
        <v>NORMAL</v>
      </c>
      <c r="I49" s="3">
        <f t="shared" si="3"/>
        <v>2.8400079302141066</v>
      </c>
      <c r="J49" s="3"/>
      <c r="K49" s="3"/>
      <c r="L49" s="3"/>
      <c r="M49" s="3"/>
      <c r="N49">
        <v>0</v>
      </c>
    </row>
    <row r="50" spans="1:14" x14ac:dyDescent="0.35">
      <c r="A50" s="1">
        <v>42736</v>
      </c>
      <c r="B50">
        <v>130.30000000000001</v>
      </c>
      <c r="C50" s="2">
        <v>8561.2999999999993</v>
      </c>
      <c r="D50">
        <f t="shared" si="0"/>
        <v>4.5872120012704816</v>
      </c>
      <c r="E50">
        <v>6.25</v>
      </c>
      <c r="F50" s="3">
        <f t="shared" si="5"/>
        <v>3.1670625494853639</v>
      </c>
      <c r="G50">
        <f t="shared" si="4"/>
        <v>3.4099920697858934</v>
      </c>
      <c r="H50" s="3" t="str">
        <f t="shared" si="2"/>
        <v>NORMAL</v>
      </c>
      <c r="I50" s="3">
        <f t="shared" si="3"/>
        <v>3.0829374505146361</v>
      </c>
      <c r="J50" s="3"/>
      <c r="K50" s="3"/>
      <c r="L50" s="3"/>
      <c r="M50" s="3"/>
      <c r="N50">
        <v>0</v>
      </c>
    </row>
    <row r="51" spans="1:14" x14ac:dyDescent="0.35">
      <c r="A51" s="1">
        <v>42767</v>
      </c>
      <c r="B51">
        <v>130.6</v>
      </c>
      <c r="C51" s="2">
        <v>8879.6</v>
      </c>
      <c r="D51">
        <f t="shared" si="0"/>
        <v>3.7178933105953669</v>
      </c>
      <c r="E51">
        <v>6.25</v>
      </c>
      <c r="F51" s="3">
        <f t="shared" si="5"/>
        <v>3.6507936507936463</v>
      </c>
      <c r="G51">
        <f t="shared" si="4"/>
        <v>3.1670625494853639</v>
      </c>
      <c r="H51" s="3" t="str">
        <f t="shared" si="2"/>
        <v>NORMAL</v>
      </c>
      <c r="I51" s="3">
        <f t="shared" si="3"/>
        <v>2.5992063492063537</v>
      </c>
      <c r="J51" s="3"/>
      <c r="K51" s="3"/>
      <c r="L51" s="3"/>
      <c r="M51" s="3"/>
      <c r="N51">
        <v>0</v>
      </c>
    </row>
    <row r="52" spans="1:14" x14ac:dyDescent="0.35">
      <c r="A52" s="1">
        <v>42795</v>
      </c>
      <c r="B52">
        <v>130.9</v>
      </c>
      <c r="C52" s="2">
        <v>9173.75</v>
      </c>
      <c r="D52">
        <f t="shared" si="0"/>
        <v>3.3126492184332585</v>
      </c>
      <c r="E52">
        <v>6.25</v>
      </c>
      <c r="F52" s="3">
        <f t="shared" si="5"/>
        <v>3.8888888888888933</v>
      </c>
      <c r="G52">
        <f t="shared" si="4"/>
        <v>3.6507936507936463</v>
      </c>
      <c r="H52" s="3" t="str">
        <f t="shared" si="2"/>
        <v>NORMAL</v>
      </c>
      <c r="I52" s="3">
        <f t="shared" si="3"/>
        <v>2.3611111111111067</v>
      </c>
      <c r="J52" s="3"/>
      <c r="K52" s="3"/>
      <c r="L52" s="3"/>
      <c r="M52" s="3"/>
      <c r="N52">
        <v>0</v>
      </c>
    </row>
    <row r="53" spans="1:14" x14ac:dyDescent="0.35">
      <c r="A53" s="1">
        <v>42826</v>
      </c>
      <c r="B53">
        <v>131.1</v>
      </c>
      <c r="C53" s="2">
        <v>9304.0499999999993</v>
      </c>
      <c r="D53">
        <f t="shared" si="0"/>
        <v>1.4203569968660501</v>
      </c>
      <c r="E53">
        <v>6.25</v>
      </c>
      <c r="F53" s="3">
        <f t="shared" si="5"/>
        <v>2.9850746268656696</v>
      </c>
      <c r="G53">
        <f t="shared" si="4"/>
        <v>3.8888888888888933</v>
      </c>
      <c r="H53" s="3" t="str">
        <f t="shared" si="2"/>
        <v>NORMAL</v>
      </c>
      <c r="I53" s="3">
        <f t="shared" si="3"/>
        <v>3.2649253731343304</v>
      </c>
      <c r="J53" s="3"/>
      <c r="K53" s="3"/>
      <c r="L53" s="3"/>
      <c r="M53" s="3"/>
      <c r="N53">
        <v>0</v>
      </c>
    </row>
    <row r="54" spans="1:14" x14ac:dyDescent="0.35">
      <c r="A54" s="1">
        <v>42856</v>
      </c>
      <c r="B54">
        <v>131.4</v>
      </c>
      <c r="C54" s="2">
        <v>9621.25</v>
      </c>
      <c r="D54">
        <f t="shared" si="0"/>
        <v>3.4092680069432211</v>
      </c>
      <c r="E54">
        <v>6.25</v>
      </c>
      <c r="F54" s="3">
        <f t="shared" si="5"/>
        <v>2.1772939346811913</v>
      </c>
      <c r="G54">
        <f t="shared" si="4"/>
        <v>2.9850746268656696</v>
      </c>
      <c r="H54" s="3" t="str">
        <f t="shared" si="2"/>
        <v>NORMAL</v>
      </c>
      <c r="I54" s="3">
        <f t="shared" si="3"/>
        <v>4.0727060653188083</v>
      </c>
      <c r="J54" s="3"/>
      <c r="K54" s="3"/>
      <c r="L54" s="3"/>
      <c r="M54" s="3"/>
      <c r="N54">
        <v>0</v>
      </c>
    </row>
    <row r="55" spans="1:14" x14ac:dyDescent="0.35">
      <c r="A55" s="1">
        <v>42887</v>
      </c>
      <c r="B55">
        <v>132</v>
      </c>
      <c r="C55" s="2">
        <v>9520.9</v>
      </c>
      <c r="D55">
        <f t="shared" si="0"/>
        <v>-1.0430037677017057</v>
      </c>
      <c r="E55">
        <v>6.25</v>
      </c>
      <c r="F55" s="3">
        <f t="shared" si="5"/>
        <v>1.4604150653343626</v>
      </c>
      <c r="G55">
        <f t="shared" si="4"/>
        <v>2.1772939346811913</v>
      </c>
      <c r="H55" s="3" t="str">
        <f t="shared" si="2"/>
        <v>NORMAL</v>
      </c>
      <c r="I55" s="3">
        <f t="shared" si="3"/>
        <v>4.789584934665637</v>
      </c>
      <c r="J55" s="3"/>
      <c r="K55" s="3"/>
      <c r="L55" s="3"/>
      <c r="M55" s="3"/>
      <c r="N55">
        <v>0</v>
      </c>
    </row>
    <row r="56" spans="1:14" x14ac:dyDescent="0.35">
      <c r="A56" s="1">
        <v>42917</v>
      </c>
      <c r="B56">
        <v>134.19999999999999</v>
      </c>
      <c r="C56" s="2">
        <v>10077.1</v>
      </c>
      <c r="D56">
        <f t="shared" si="0"/>
        <v>5.8418846957745671</v>
      </c>
      <c r="E56">
        <v>6.25</v>
      </c>
      <c r="F56" s="3">
        <f t="shared" si="5"/>
        <v>2.3646071700991569</v>
      </c>
      <c r="G56">
        <f t="shared" si="4"/>
        <v>1.4604150653343626</v>
      </c>
      <c r="H56" s="3" t="str">
        <f t="shared" si="2"/>
        <v>NORMAL</v>
      </c>
      <c r="I56" s="3">
        <f t="shared" si="3"/>
        <v>3.8853928299008431</v>
      </c>
      <c r="J56" s="3"/>
      <c r="K56" s="3"/>
      <c r="L56" s="3"/>
      <c r="M56" s="3"/>
      <c r="N56">
        <v>0</v>
      </c>
    </row>
    <row r="57" spans="1:14" x14ac:dyDescent="0.35">
      <c r="A57" s="1">
        <v>42948</v>
      </c>
      <c r="B57">
        <v>135.4</v>
      </c>
      <c r="C57" s="2">
        <v>9917.9</v>
      </c>
      <c r="D57">
        <f t="shared" si="0"/>
        <v>-1.5798195909537536</v>
      </c>
      <c r="E57">
        <v>6</v>
      </c>
      <c r="F57" s="3">
        <f t="shared" si="5"/>
        <v>3.2799389778794903</v>
      </c>
      <c r="G57">
        <f t="shared" si="4"/>
        <v>2.3646071700991569</v>
      </c>
      <c r="H57" s="3" t="str">
        <f t="shared" si="2"/>
        <v>NORMAL</v>
      </c>
      <c r="I57" s="3">
        <f t="shared" si="3"/>
        <v>2.7200610221205097</v>
      </c>
      <c r="J57" s="3"/>
      <c r="K57" s="3"/>
      <c r="L57" s="3"/>
      <c r="M57" s="3"/>
      <c r="N57">
        <v>0</v>
      </c>
    </row>
    <row r="58" spans="1:14" x14ac:dyDescent="0.35">
      <c r="A58" s="1">
        <v>42979</v>
      </c>
      <c r="B58">
        <v>135.19999999999999</v>
      </c>
      <c r="C58" s="2">
        <v>9788.6</v>
      </c>
      <c r="D58">
        <f t="shared" si="0"/>
        <v>-1.3037034049546707</v>
      </c>
      <c r="E58">
        <v>6</v>
      </c>
      <c r="F58" s="3">
        <f t="shared" si="5"/>
        <v>3.2849503437738599</v>
      </c>
      <c r="G58">
        <f t="shared" si="4"/>
        <v>3.2799389778794903</v>
      </c>
      <c r="H58" s="3" t="str">
        <f t="shared" si="2"/>
        <v>NORMAL</v>
      </c>
      <c r="I58" s="3">
        <f t="shared" si="3"/>
        <v>2.7150496562261401</v>
      </c>
      <c r="J58" s="3"/>
      <c r="K58" s="3"/>
      <c r="L58" s="3"/>
      <c r="M58" s="3"/>
      <c r="N58">
        <v>0</v>
      </c>
    </row>
    <row r="59" spans="1:14" x14ac:dyDescent="0.35">
      <c r="A59" s="1">
        <v>43009</v>
      </c>
      <c r="B59">
        <v>136.1</v>
      </c>
      <c r="C59" s="2">
        <v>10335.299999999999</v>
      </c>
      <c r="D59">
        <f t="shared" si="0"/>
        <v>5.5850683448092564</v>
      </c>
      <c r="E59">
        <v>6</v>
      </c>
      <c r="F59" s="3">
        <f t="shared" si="5"/>
        <v>3.5768645357686371</v>
      </c>
      <c r="G59">
        <f t="shared" si="4"/>
        <v>3.2849503437738599</v>
      </c>
      <c r="H59" s="3" t="str">
        <f t="shared" si="2"/>
        <v>NORMAL</v>
      </c>
      <c r="I59" s="3">
        <f t="shared" si="3"/>
        <v>2.4231354642313629</v>
      </c>
      <c r="J59" s="3"/>
      <c r="K59" s="3"/>
      <c r="L59" s="3"/>
      <c r="M59" s="3"/>
      <c r="N59">
        <v>0</v>
      </c>
    </row>
    <row r="60" spans="1:14" x14ac:dyDescent="0.35">
      <c r="A60" s="1">
        <v>43040</v>
      </c>
      <c r="B60">
        <v>137.6</v>
      </c>
      <c r="C60" s="2">
        <v>10226.549999999999</v>
      </c>
      <c r="D60">
        <f t="shared" si="0"/>
        <v>-1.0522190937853764</v>
      </c>
      <c r="E60">
        <v>6</v>
      </c>
      <c r="F60" s="3">
        <f t="shared" si="5"/>
        <v>4.8780487804878101</v>
      </c>
      <c r="G60">
        <f t="shared" si="4"/>
        <v>3.5768645357686371</v>
      </c>
      <c r="H60" s="3" t="str">
        <f t="shared" si="2"/>
        <v>NORMAL</v>
      </c>
      <c r="I60" s="3">
        <f t="shared" si="3"/>
        <v>1.1219512195121899</v>
      </c>
      <c r="J60" s="3"/>
      <c r="K60" s="3"/>
      <c r="L60" s="3"/>
      <c r="M60" s="3"/>
      <c r="N60">
        <v>0</v>
      </c>
    </row>
    <row r="61" spans="1:14" x14ac:dyDescent="0.35">
      <c r="A61" s="1">
        <v>43070</v>
      </c>
      <c r="B61">
        <v>137.19999999999999</v>
      </c>
      <c r="C61" s="2">
        <v>10530.7</v>
      </c>
      <c r="D61">
        <f t="shared" si="0"/>
        <v>2.9741212823484116</v>
      </c>
      <c r="E61">
        <v>6</v>
      </c>
      <c r="F61" s="3">
        <f t="shared" si="5"/>
        <v>5.2147239263803549</v>
      </c>
      <c r="G61">
        <f t="shared" si="4"/>
        <v>4.8780487804878101</v>
      </c>
      <c r="H61" s="3" t="str">
        <f t="shared" si="2"/>
        <v>NORMAL</v>
      </c>
      <c r="I61" s="3">
        <f t="shared" si="3"/>
        <v>0.78527607361964513</v>
      </c>
      <c r="J61" s="3"/>
      <c r="K61" s="3"/>
      <c r="L61" s="3"/>
      <c r="M61" s="3"/>
      <c r="N61">
        <v>0</v>
      </c>
    </row>
    <row r="62" spans="1:14" x14ac:dyDescent="0.35">
      <c r="A62" s="1">
        <v>43101</v>
      </c>
      <c r="B62">
        <v>136.9</v>
      </c>
      <c r="C62" s="2">
        <v>11027.7</v>
      </c>
      <c r="D62">
        <f t="shared" si="0"/>
        <v>4.7195343139582357</v>
      </c>
      <c r="E62">
        <v>6</v>
      </c>
      <c r="F62" s="3">
        <f t="shared" si="5"/>
        <v>5.0652340752110465</v>
      </c>
      <c r="G62">
        <f t="shared" si="4"/>
        <v>5.2147239263803549</v>
      </c>
      <c r="H62" s="3" t="str">
        <f t="shared" si="2"/>
        <v>NORMAL</v>
      </c>
      <c r="I62" s="3">
        <f t="shared" si="3"/>
        <v>0.93476592478895348</v>
      </c>
      <c r="J62" s="3"/>
      <c r="K62" s="3"/>
      <c r="L62" s="3"/>
      <c r="M62" s="3"/>
      <c r="N62">
        <v>0</v>
      </c>
    </row>
    <row r="63" spans="1:14" x14ac:dyDescent="0.35">
      <c r="A63" s="1">
        <v>43132</v>
      </c>
      <c r="B63">
        <v>136.4</v>
      </c>
      <c r="C63" s="2">
        <v>10492.85</v>
      </c>
      <c r="D63">
        <f t="shared" si="0"/>
        <v>-4.8500593958849114</v>
      </c>
      <c r="E63">
        <v>6</v>
      </c>
      <c r="F63" s="3">
        <f t="shared" si="5"/>
        <v>4.4410413476263493</v>
      </c>
      <c r="G63">
        <f t="shared" si="4"/>
        <v>5.0652340752110465</v>
      </c>
      <c r="H63" s="3" t="str">
        <f t="shared" si="2"/>
        <v>NORMAL</v>
      </c>
      <c r="I63" s="3">
        <f t="shared" si="3"/>
        <v>1.5589586523736507</v>
      </c>
      <c r="J63" s="3"/>
      <c r="K63" s="3"/>
      <c r="L63" s="3"/>
      <c r="M63" s="3"/>
      <c r="N63">
        <v>0</v>
      </c>
    </row>
    <row r="64" spans="1:14" x14ac:dyDescent="0.35">
      <c r="A64" s="1">
        <v>43160</v>
      </c>
      <c r="B64">
        <v>136.5</v>
      </c>
      <c r="C64" s="2">
        <v>10113.700000000001</v>
      </c>
      <c r="D64">
        <f t="shared" si="0"/>
        <v>-3.6134129430993451</v>
      </c>
      <c r="E64">
        <v>6</v>
      </c>
      <c r="F64" s="3">
        <f t="shared" si="5"/>
        <v>4.2780748663101562</v>
      </c>
      <c r="G64">
        <f t="shared" si="4"/>
        <v>4.4410413476263493</v>
      </c>
      <c r="H64" s="3" t="str">
        <f t="shared" si="2"/>
        <v>NORMAL</v>
      </c>
      <c r="I64" s="3">
        <f t="shared" si="3"/>
        <v>1.7219251336898438</v>
      </c>
      <c r="J64" s="3"/>
      <c r="K64" s="3"/>
      <c r="L64" s="3"/>
      <c r="M64" s="3"/>
      <c r="N64">
        <v>0</v>
      </c>
    </row>
    <row r="65" spans="1:14" x14ac:dyDescent="0.35">
      <c r="A65" s="1">
        <v>43191</v>
      </c>
      <c r="B65">
        <v>137.1</v>
      </c>
      <c r="C65" s="2">
        <v>10739.35</v>
      </c>
      <c r="D65">
        <f t="shared" si="0"/>
        <v>6.186163323017289</v>
      </c>
      <c r="E65">
        <v>6</v>
      </c>
      <c r="F65" s="3">
        <f t="shared" si="5"/>
        <v>4.5766590389016022</v>
      </c>
      <c r="G65">
        <f t="shared" si="4"/>
        <v>4.2780748663101562</v>
      </c>
      <c r="H65" s="3" t="str">
        <f t="shared" si="2"/>
        <v>NORMAL</v>
      </c>
      <c r="I65" s="3">
        <f t="shared" si="3"/>
        <v>1.4233409610983978</v>
      </c>
      <c r="J65" s="3"/>
      <c r="K65" s="3"/>
      <c r="L65" s="3"/>
      <c r="M65" s="3"/>
      <c r="N65">
        <v>0</v>
      </c>
    </row>
    <row r="66" spans="1:14" x14ac:dyDescent="0.35">
      <c r="A66" s="1">
        <v>43221</v>
      </c>
      <c r="B66">
        <v>137.80000000000001</v>
      </c>
      <c r="C66" s="2">
        <v>10736.15</v>
      </c>
      <c r="D66">
        <f t="shared" si="0"/>
        <v>-2.9796961641074437E-2</v>
      </c>
      <c r="E66">
        <v>6</v>
      </c>
      <c r="F66" s="3">
        <f t="shared" si="5"/>
        <v>4.8706240487062447</v>
      </c>
      <c r="G66">
        <f t="shared" si="4"/>
        <v>4.5766590389016022</v>
      </c>
      <c r="H66" s="3" t="str">
        <f t="shared" si="2"/>
        <v>NORMAL</v>
      </c>
      <c r="I66" s="3">
        <f t="shared" si="3"/>
        <v>1.1293759512937553</v>
      </c>
      <c r="J66" s="3"/>
      <c r="K66" s="3"/>
      <c r="L66" s="3"/>
      <c r="M66" s="3"/>
      <c r="N66">
        <v>0</v>
      </c>
    </row>
    <row r="67" spans="1:14" x14ac:dyDescent="0.35">
      <c r="A67" s="1">
        <v>43252</v>
      </c>
      <c r="B67">
        <v>138.5</v>
      </c>
      <c r="C67" s="2">
        <v>10714.3</v>
      </c>
      <c r="D67">
        <f t="shared" si="0"/>
        <v>-0.20351802089203638</v>
      </c>
      <c r="E67">
        <v>6.25</v>
      </c>
      <c r="F67" s="3">
        <f t="shared" si="5"/>
        <v>4.9242424242424239</v>
      </c>
      <c r="G67">
        <f t="shared" si="4"/>
        <v>4.8706240487062447</v>
      </c>
      <c r="H67" s="3" t="str">
        <f t="shared" si="2"/>
        <v>NORMAL</v>
      </c>
      <c r="I67" s="3">
        <f t="shared" si="3"/>
        <v>1.3257575757575761</v>
      </c>
      <c r="J67" s="3"/>
      <c r="K67" s="3"/>
      <c r="L67" s="3"/>
      <c r="M67" s="3"/>
      <c r="N67">
        <v>0</v>
      </c>
    </row>
    <row r="68" spans="1:14" x14ac:dyDescent="0.35">
      <c r="A68" s="1">
        <v>43282</v>
      </c>
      <c r="B68">
        <v>139.80000000000001</v>
      </c>
      <c r="C68" s="2">
        <v>11356.5</v>
      </c>
      <c r="D68">
        <f t="shared" ref="D68:D131" si="6">(C68-C67)/C67*100</f>
        <v>5.9938586748551081</v>
      </c>
      <c r="E68">
        <v>6.25</v>
      </c>
      <c r="F68" s="3">
        <f t="shared" si="5"/>
        <v>4.1728763040238617</v>
      </c>
      <c r="G68">
        <f t="shared" si="4"/>
        <v>4.9242424242424239</v>
      </c>
      <c r="H68" s="3" t="str">
        <f t="shared" si="2"/>
        <v>NORMAL</v>
      </c>
      <c r="I68" s="3">
        <f t="shared" si="3"/>
        <v>2.0771236959761383</v>
      </c>
      <c r="J68" s="3"/>
      <c r="K68" s="3"/>
      <c r="L68" s="3"/>
      <c r="M68" s="3"/>
      <c r="N68">
        <v>0</v>
      </c>
    </row>
    <row r="69" spans="1:14" x14ac:dyDescent="0.35">
      <c r="A69" s="1">
        <v>43313</v>
      </c>
      <c r="B69">
        <v>140.4</v>
      </c>
      <c r="C69" s="2">
        <v>11680.5</v>
      </c>
      <c r="D69">
        <f t="shared" si="6"/>
        <v>2.8529916787742704</v>
      </c>
      <c r="E69">
        <v>6.5</v>
      </c>
      <c r="F69" s="3">
        <f t="shared" si="5"/>
        <v>3.6927621861152145</v>
      </c>
      <c r="G69">
        <f t="shared" si="4"/>
        <v>4.1728763040238617</v>
      </c>
      <c r="H69" s="3" t="str">
        <f t="shared" si="2"/>
        <v>NORMAL</v>
      </c>
      <c r="I69" s="3">
        <f t="shared" si="3"/>
        <v>2.8072378138847855</v>
      </c>
      <c r="J69" s="3"/>
      <c r="K69" s="3"/>
      <c r="L69" s="3"/>
      <c r="M69" s="3"/>
      <c r="N69">
        <v>0</v>
      </c>
    </row>
    <row r="70" spans="1:14" x14ac:dyDescent="0.35">
      <c r="A70" s="1">
        <v>43344</v>
      </c>
      <c r="B70">
        <v>140.19999999999999</v>
      </c>
      <c r="C70" s="2">
        <v>10930.45</v>
      </c>
      <c r="D70">
        <f t="shared" si="6"/>
        <v>-6.4213860708017574</v>
      </c>
      <c r="E70">
        <v>6.5</v>
      </c>
      <c r="F70" s="3">
        <f t="shared" si="5"/>
        <v>3.6982248520710059</v>
      </c>
      <c r="G70">
        <f t="shared" si="4"/>
        <v>3.6927621861152145</v>
      </c>
      <c r="H70" s="3" t="str">
        <f t="shared" si="2"/>
        <v>NORMAL</v>
      </c>
      <c r="I70" s="3">
        <f t="shared" si="3"/>
        <v>2.8017751479289941</v>
      </c>
      <c r="J70" s="3"/>
      <c r="K70" s="3"/>
      <c r="L70" s="3"/>
      <c r="M70" s="3"/>
      <c r="N70">
        <v>0</v>
      </c>
    </row>
    <row r="71" spans="1:14" x14ac:dyDescent="0.35">
      <c r="A71" s="1">
        <v>43374</v>
      </c>
      <c r="B71">
        <v>140.80000000000001</v>
      </c>
      <c r="C71" s="2">
        <v>10386.6</v>
      </c>
      <c r="D71">
        <f t="shared" si="6"/>
        <v>-4.9755499544849506</v>
      </c>
      <c r="E71">
        <v>6.5</v>
      </c>
      <c r="F71" s="3">
        <f t="shared" si="5"/>
        <v>3.4533431300514459</v>
      </c>
      <c r="G71">
        <f t="shared" si="4"/>
        <v>3.6982248520710059</v>
      </c>
      <c r="H71" s="3" t="str">
        <f t="shared" si="2"/>
        <v>NORMAL</v>
      </c>
      <c r="I71" s="3">
        <f t="shared" si="3"/>
        <v>3.0466568699485541</v>
      </c>
      <c r="J71" s="3"/>
      <c r="K71" s="3"/>
      <c r="L71" s="3"/>
      <c r="M71" s="3"/>
      <c r="N71">
        <v>0</v>
      </c>
    </row>
    <row r="72" spans="1:14" x14ac:dyDescent="0.35">
      <c r="A72" s="1">
        <v>43405</v>
      </c>
      <c r="B72">
        <v>140.80000000000001</v>
      </c>
      <c r="C72" s="2">
        <v>10876.75</v>
      </c>
      <c r="D72">
        <f t="shared" si="6"/>
        <v>4.7190610979531282</v>
      </c>
      <c r="E72">
        <v>6.5</v>
      </c>
      <c r="F72" s="3">
        <f t="shared" si="5"/>
        <v>2.3255813953488498</v>
      </c>
      <c r="G72">
        <f t="shared" si="4"/>
        <v>3.4533431300514459</v>
      </c>
      <c r="H72" s="3" t="str">
        <f t="shared" si="2"/>
        <v>NORMAL</v>
      </c>
      <c r="I72" s="3">
        <f t="shared" si="3"/>
        <v>4.1744186046511498</v>
      </c>
      <c r="J72" s="3"/>
      <c r="K72" s="3"/>
      <c r="L72" s="3"/>
      <c r="M72" s="3"/>
      <c r="N72">
        <v>0</v>
      </c>
    </row>
    <row r="73" spans="1:14" x14ac:dyDescent="0.35">
      <c r="A73" s="1">
        <v>43435</v>
      </c>
      <c r="B73">
        <v>140.1</v>
      </c>
      <c r="C73" s="2">
        <v>10862.55</v>
      </c>
      <c r="D73">
        <f t="shared" si="6"/>
        <v>-0.13055370400166161</v>
      </c>
      <c r="E73">
        <v>6.5</v>
      </c>
      <c r="F73" s="3">
        <f t="shared" si="5"/>
        <v>2.1137026239067098</v>
      </c>
      <c r="G73">
        <f t="shared" si="4"/>
        <v>2.3255813953488498</v>
      </c>
      <c r="H73" s="3" t="str">
        <f t="shared" si="2"/>
        <v>NORMAL</v>
      </c>
      <c r="I73" s="3">
        <f t="shared" si="3"/>
        <v>4.3862973760932906</v>
      </c>
      <c r="J73" s="3"/>
      <c r="K73" s="3"/>
      <c r="L73" s="3"/>
      <c r="M73" s="3"/>
      <c r="N73">
        <v>0</v>
      </c>
    </row>
    <row r="74" spans="1:14" x14ac:dyDescent="0.35">
      <c r="A74" s="1">
        <v>43466</v>
      </c>
      <c r="B74">
        <v>139.6</v>
      </c>
      <c r="C74" s="2">
        <v>10830.95</v>
      </c>
      <c r="D74">
        <f t="shared" si="6"/>
        <v>-0.29090775186303902</v>
      </c>
      <c r="E74">
        <v>6.5</v>
      </c>
      <c r="F74" s="3">
        <f t="shared" si="5"/>
        <v>1.972242512783045</v>
      </c>
      <c r="G74">
        <f t="shared" si="4"/>
        <v>2.1137026239067098</v>
      </c>
      <c r="H74" s="3" t="str">
        <f t="shared" si="2"/>
        <v>NORMAL</v>
      </c>
      <c r="I74" s="3">
        <f t="shared" si="3"/>
        <v>4.527757487216955</v>
      </c>
      <c r="J74" s="3"/>
      <c r="K74" s="3"/>
      <c r="L74" s="3"/>
      <c r="M74" s="3"/>
      <c r="N74">
        <v>0</v>
      </c>
    </row>
    <row r="75" spans="1:14" x14ac:dyDescent="0.35">
      <c r="A75" s="1">
        <v>43497</v>
      </c>
      <c r="B75">
        <v>139.9</v>
      </c>
      <c r="C75" s="2">
        <v>10792.5</v>
      </c>
      <c r="D75">
        <f t="shared" si="6"/>
        <v>-0.35500117718206364</v>
      </c>
      <c r="E75">
        <v>6.25</v>
      </c>
      <c r="F75" s="3">
        <f t="shared" si="5"/>
        <v>2.5659824046920821</v>
      </c>
      <c r="G75">
        <f t="shared" si="4"/>
        <v>1.972242512783045</v>
      </c>
      <c r="H75" s="3" t="str">
        <f t="shared" si="2"/>
        <v>NORMAL</v>
      </c>
      <c r="I75" s="3">
        <f t="shared" si="3"/>
        <v>3.6840175953079179</v>
      </c>
      <c r="J75" s="3"/>
      <c r="K75" s="3"/>
      <c r="L75" s="3"/>
      <c r="M75" s="3"/>
      <c r="N75">
        <v>0</v>
      </c>
    </row>
    <row r="76" spans="1:14" x14ac:dyDescent="0.35">
      <c r="A76" s="1">
        <v>43525</v>
      </c>
      <c r="B76">
        <v>140.4</v>
      </c>
      <c r="C76" s="2">
        <v>11623.9</v>
      </c>
      <c r="D76">
        <f t="shared" si="6"/>
        <v>7.7034977993977263</v>
      </c>
      <c r="E76">
        <v>6.25</v>
      </c>
      <c r="F76" s="3">
        <f t="shared" si="5"/>
        <v>2.8571428571428612</v>
      </c>
      <c r="G76">
        <f t="shared" si="4"/>
        <v>2.5659824046920821</v>
      </c>
      <c r="H76" s="3" t="str">
        <f t="shared" si="2"/>
        <v>NORMAL</v>
      </c>
      <c r="I76" s="3">
        <f t="shared" si="3"/>
        <v>3.3928571428571388</v>
      </c>
      <c r="J76" s="3"/>
      <c r="K76" s="3"/>
      <c r="L76" s="3"/>
      <c r="M76" s="3"/>
      <c r="N76">
        <v>0</v>
      </c>
    </row>
    <row r="77" spans="1:14" x14ac:dyDescent="0.35">
      <c r="A77" s="1">
        <v>43556</v>
      </c>
      <c r="B77" s="5">
        <f>(B76+B78)/2</f>
        <v>141.19999999999999</v>
      </c>
      <c r="C77" s="2">
        <v>11748.15</v>
      </c>
      <c r="D77">
        <f t="shared" si="6"/>
        <v>1.0689183492631562</v>
      </c>
      <c r="E77">
        <v>6</v>
      </c>
      <c r="F77" s="3">
        <f t="shared" si="5"/>
        <v>2.9905178701677566</v>
      </c>
      <c r="G77">
        <f t="shared" si="4"/>
        <v>2.8571428571428612</v>
      </c>
      <c r="H77" s="3" t="str">
        <f t="shared" si="2"/>
        <v>NORMAL</v>
      </c>
      <c r="I77" s="3">
        <f t="shared" si="3"/>
        <v>3.0094821298322434</v>
      </c>
      <c r="J77" s="3"/>
      <c r="K77" s="3"/>
      <c r="L77" s="3"/>
      <c r="M77" s="3"/>
      <c r="N77">
        <v>0</v>
      </c>
    </row>
    <row r="78" spans="1:14" x14ac:dyDescent="0.35">
      <c r="A78" s="1">
        <v>43586</v>
      </c>
      <c r="B78">
        <v>142</v>
      </c>
      <c r="C78" s="2">
        <v>11922.8</v>
      </c>
      <c r="D78">
        <f t="shared" si="6"/>
        <v>1.4866170418321152</v>
      </c>
      <c r="E78">
        <v>6</v>
      </c>
      <c r="F78" s="3">
        <f t="shared" ref="F78:F90" si="7">(B78-B66)/B66 * 100</f>
        <v>3.0478955007256809</v>
      </c>
      <c r="G78">
        <f t="shared" si="4"/>
        <v>2.9905178701677566</v>
      </c>
      <c r="H78" s="3" t="str">
        <f t="shared" si="2"/>
        <v>NORMAL</v>
      </c>
      <c r="I78" s="3">
        <f t="shared" si="3"/>
        <v>2.9521044992743191</v>
      </c>
      <c r="J78" s="3"/>
      <c r="K78" s="3"/>
      <c r="L78" s="3"/>
      <c r="M78" s="3"/>
      <c r="N78">
        <v>0</v>
      </c>
    </row>
    <row r="79" spans="1:14" x14ac:dyDescent="0.35">
      <c r="A79" s="1">
        <v>43617</v>
      </c>
      <c r="B79">
        <v>142.9</v>
      </c>
      <c r="C79" s="2">
        <v>11788.85</v>
      </c>
      <c r="D79">
        <f t="shared" si="6"/>
        <v>-1.1234777065789825</v>
      </c>
      <c r="E79">
        <v>5.75</v>
      </c>
      <c r="F79" s="3">
        <f t="shared" si="7"/>
        <v>3.1768953068592101</v>
      </c>
      <c r="G79">
        <f t="shared" si="4"/>
        <v>3.0478955007256809</v>
      </c>
      <c r="H79" s="3" t="str">
        <f t="shared" ref="H79:H132" si="8">IF(F79&gt;6, "HIGH", "NORMAL")</f>
        <v>NORMAL</v>
      </c>
      <c r="I79" s="3">
        <f t="shared" ref="I79:I132" si="9">E79-F79</f>
        <v>2.5731046931407899</v>
      </c>
      <c r="J79" s="3"/>
      <c r="K79" s="3"/>
      <c r="L79" s="3"/>
      <c r="M79" s="3"/>
      <c r="N79">
        <v>0</v>
      </c>
    </row>
    <row r="80" spans="1:14" x14ac:dyDescent="0.35">
      <c r="A80" s="1">
        <v>43647</v>
      </c>
      <c r="B80">
        <v>144.19999999999999</v>
      </c>
      <c r="C80" s="2">
        <v>11118</v>
      </c>
      <c r="D80">
        <f t="shared" si="6"/>
        <v>-5.6905465757898384</v>
      </c>
      <c r="E80">
        <v>5.75</v>
      </c>
      <c r="F80" s="3">
        <f t="shared" si="7"/>
        <v>3.14735336194562</v>
      </c>
      <c r="G80">
        <f t="shared" ref="G80:G132" si="10">F79</f>
        <v>3.1768953068592101</v>
      </c>
      <c r="H80" s="3" t="str">
        <f t="shared" si="8"/>
        <v>NORMAL</v>
      </c>
      <c r="I80" s="3">
        <f t="shared" si="9"/>
        <v>2.60264663805438</v>
      </c>
      <c r="J80" s="3"/>
      <c r="K80" s="3"/>
      <c r="L80" s="3"/>
      <c r="M80" s="3"/>
      <c r="N80">
        <v>0</v>
      </c>
    </row>
    <row r="81" spans="1:14" x14ac:dyDescent="0.35">
      <c r="A81" s="1">
        <v>43678</v>
      </c>
      <c r="B81">
        <v>145</v>
      </c>
      <c r="C81" s="2">
        <v>11023.25</v>
      </c>
      <c r="D81">
        <f t="shared" si="6"/>
        <v>-0.8522216225939917</v>
      </c>
      <c r="E81">
        <v>5.4</v>
      </c>
      <c r="F81" s="3">
        <f t="shared" si="7"/>
        <v>3.2763532763532721</v>
      </c>
      <c r="G81">
        <f t="shared" si="10"/>
        <v>3.14735336194562</v>
      </c>
      <c r="H81" s="3" t="str">
        <f t="shared" si="8"/>
        <v>NORMAL</v>
      </c>
      <c r="I81" s="3">
        <f t="shared" si="9"/>
        <v>2.1236467236467282</v>
      </c>
      <c r="J81" s="3"/>
      <c r="K81" s="3"/>
      <c r="L81" s="3"/>
      <c r="M81" s="3"/>
      <c r="N81">
        <v>0</v>
      </c>
    </row>
    <row r="82" spans="1:14" x14ac:dyDescent="0.35">
      <c r="A82" s="1">
        <v>43709</v>
      </c>
      <c r="B82">
        <v>145.80000000000001</v>
      </c>
      <c r="C82" s="2">
        <v>11474.45</v>
      </c>
      <c r="D82">
        <f t="shared" si="6"/>
        <v>4.0931667158052365</v>
      </c>
      <c r="E82">
        <v>5.4</v>
      </c>
      <c r="F82" s="3">
        <f t="shared" si="7"/>
        <v>3.9942938659058651</v>
      </c>
      <c r="G82">
        <f t="shared" si="10"/>
        <v>3.2763532763532721</v>
      </c>
      <c r="H82" s="3" t="str">
        <f t="shared" si="8"/>
        <v>NORMAL</v>
      </c>
      <c r="I82" s="3">
        <f t="shared" si="9"/>
        <v>1.4057061340941353</v>
      </c>
      <c r="J82" s="3"/>
      <c r="K82" s="3"/>
      <c r="L82" s="3"/>
      <c r="M82" s="3"/>
      <c r="N82">
        <v>0</v>
      </c>
    </row>
    <row r="83" spans="1:14" x14ac:dyDescent="0.35">
      <c r="A83" s="1">
        <v>43739</v>
      </c>
      <c r="B83">
        <v>147.19999999999999</v>
      </c>
      <c r="C83" s="2">
        <v>11877.45</v>
      </c>
      <c r="D83">
        <f t="shared" si="6"/>
        <v>3.5121509091939043</v>
      </c>
      <c r="E83">
        <v>5.15</v>
      </c>
      <c r="F83" s="3">
        <f t="shared" si="7"/>
        <v>4.545454545454529</v>
      </c>
      <c r="G83">
        <f t="shared" si="10"/>
        <v>3.9942938659058651</v>
      </c>
      <c r="H83" s="3" t="str">
        <f t="shared" si="8"/>
        <v>NORMAL</v>
      </c>
      <c r="I83" s="3">
        <f t="shared" si="9"/>
        <v>0.60454545454547137</v>
      </c>
      <c r="J83" s="3"/>
      <c r="K83" s="3"/>
      <c r="L83" s="3"/>
      <c r="M83" s="3"/>
      <c r="N83">
        <v>0</v>
      </c>
    </row>
    <row r="84" spans="1:14" x14ac:dyDescent="0.35">
      <c r="A84" s="1">
        <v>43770</v>
      </c>
      <c r="B84">
        <v>148.6</v>
      </c>
      <c r="C84" s="2">
        <v>12056.05</v>
      </c>
      <c r="D84">
        <f t="shared" si="6"/>
        <v>1.503689765058986</v>
      </c>
      <c r="E84">
        <v>5.15</v>
      </c>
      <c r="F84" s="3">
        <f t="shared" si="7"/>
        <v>5.5397727272727151</v>
      </c>
      <c r="G84">
        <f t="shared" si="10"/>
        <v>4.545454545454529</v>
      </c>
      <c r="H84" s="3" t="str">
        <f t="shared" si="8"/>
        <v>NORMAL</v>
      </c>
      <c r="I84" s="3">
        <f t="shared" si="9"/>
        <v>-0.38977272727271473</v>
      </c>
      <c r="J84" s="3"/>
      <c r="K84" s="3"/>
      <c r="L84" s="3"/>
      <c r="M84" s="3"/>
      <c r="N84">
        <v>0</v>
      </c>
    </row>
    <row r="85" spans="1:14" x14ac:dyDescent="0.35">
      <c r="A85" s="1">
        <v>43800</v>
      </c>
      <c r="B85">
        <v>150.4</v>
      </c>
      <c r="C85" s="2">
        <v>12168.45</v>
      </c>
      <c r="D85">
        <f t="shared" si="6"/>
        <v>0.93231199273395071</v>
      </c>
      <c r="E85">
        <v>5.15</v>
      </c>
      <c r="F85" s="3">
        <f t="shared" si="7"/>
        <v>7.3518915060671031</v>
      </c>
      <c r="G85">
        <f t="shared" si="10"/>
        <v>5.5397727272727151</v>
      </c>
      <c r="H85" s="3" t="str">
        <f t="shared" si="8"/>
        <v>HIGH</v>
      </c>
      <c r="I85" s="3">
        <f t="shared" si="9"/>
        <v>-2.2018915060671027</v>
      </c>
      <c r="J85" s="3"/>
      <c r="K85" s="3"/>
      <c r="L85" s="3"/>
      <c r="M85" s="3"/>
      <c r="N85">
        <v>0</v>
      </c>
    </row>
    <row r="86" spans="1:14" x14ac:dyDescent="0.35">
      <c r="A86" s="1">
        <v>43831</v>
      </c>
      <c r="B86">
        <v>150.19999999999999</v>
      </c>
      <c r="C86" s="2">
        <v>11962.1</v>
      </c>
      <c r="D86">
        <f t="shared" si="6"/>
        <v>-1.6957788378963661</v>
      </c>
      <c r="E86">
        <v>5.15</v>
      </c>
      <c r="F86" s="3">
        <f t="shared" si="7"/>
        <v>7.5931232091690504</v>
      </c>
      <c r="G86">
        <f t="shared" si="10"/>
        <v>7.3518915060671031</v>
      </c>
      <c r="H86" s="3" t="str">
        <f t="shared" si="8"/>
        <v>HIGH</v>
      </c>
      <c r="I86" s="3">
        <f t="shared" si="9"/>
        <v>-2.44312320916905</v>
      </c>
      <c r="J86" s="3"/>
      <c r="K86" s="3"/>
      <c r="L86" s="3"/>
      <c r="M86" s="3"/>
      <c r="N86">
        <v>0</v>
      </c>
    </row>
    <row r="87" spans="1:14" x14ac:dyDescent="0.35">
      <c r="A87" s="1">
        <v>43862</v>
      </c>
      <c r="B87">
        <v>149.1</v>
      </c>
      <c r="C87" s="2">
        <v>11201.75</v>
      </c>
      <c r="D87">
        <f t="shared" si="6"/>
        <v>-6.3563253943705558</v>
      </c>
      <c r="E87">
        <v>5.15</v>
      </c>
      <c r="F87" s="3">
        <f t="shared" si="7"/>
        <v>6.5761258041458106</v>
      </c>
      <c r="G87">
        <f t="shared" si="10"/>
        <v>7.5931232091690504</v>
      </c>
      <c r="H87" s="3" t="str">
        <f t="shared" si="8"/>
        <v>HIGH</v>
      </c>
      <c r="I87" s="3">
        <f t="shared" si="9"/>
        <v>-1.4261258041458102</v>
      </c>
      <c r="J87" s="3"/>
      <c r="K87" s="3"/>
      <c r="L87" s="3"/>
      <c r="M87" s="3"/>
      <c r="N87">
        <v>0</v>
      </c>
    </row>
    <row r="88" spans="1:14" x14ac:dyDescent="0.35">
      <c r="A88" s="1">
        <v>43891</v>
      </c>
      <c r="B88">
        <v>148.6</v>
      </c>
      <c r="C88" s="2">
        <v>8597.75</v>
      </c>
      <c r="D88">
        <f t="shared" si="6"/>
        <v>-23.246367755038275</v>
      </c>
      <c r="E88">
        <v>5.15</v>
      </c>
      <c r="F88" s="3">
        <f t="shared" si="7"/>
        <v>5.8404558404558315</v>
      </c>
      <c r="G88">
        <f t="shared" si="10"/>
        <v>6.5761258041458106</v>
      </c>
      <c r="H88" s="3" t="str">
        <f t="shared" si="8"/>
        <v>NORMAL</v>
      </c>
      <c r="I88" s="3">
        <f t="shared" si="9"/>
        <v>-0.69045584045583119</v>
      </c>
      <c r="J88" s="3"/>
      <c r="K88" s="3"/>
      <c r="L88" s="3"/>
      <c r="M88" s="3"/>
      <c r="N88">
        <v>0</v>
      </c>
    </row>
    <row r="89" spans="1:14" x14ac:dyDescent="0.35">
      <c r="A89" s="1">
        <v>43922</v>
      </c>
      <c r="B89" s="5">
        <f>B88+(B91-B88)/3</f>
        <v>149.66666666666666</v>
      </c>
      <c r="C89" s="2">
        <v>9859.9</v>
      </c>
      <c r="D89">
        <f t="shared" si="6"/>
        <v>14.680003489284982</v>
      </c>
      <c r="E89">
        <v>4.4000000000000004</v>
      </c>
      <c r="F89" s="3">
        <f t="shared" si="7"/>
        <v>5.9962228517469329</v>
      </c>
      <c r="G89">
        <f t="shared" si="10"/>
        <v>5.8404558404558315</v>
      </c>
      <c r="H89" s="3" t="str">
        <f t="shared" si="8"/>
        <v>NORMAL</v>
      </c>
      <c r="I89" s="3">
        <f t="shared" si="9"/>
        <v>-1.5962228517469326</v>
      </c>
      <c r="J89" s="3"/>
      <c r="K89" s="3"/>
      <c r="L89" s="3"/>
      <c r="M89" s="3"/>
      <c r="N89">
        <v>0</v>
      </c>
    </row>
    <row r="90" spans="1:14" x14ac:dyDescent="0.35">
      <c r="A90" s="1">
        <v>43952</v>
      </c>
      <c r="B90" s="5">
        <f>B88+2*(B91-B88)/3</f>
        <v>150.73333333333335</v>
      </c>
      <c r="C90" s="2">
        <v>9580.2999999999993</v>
      </c>
      <c r="D90">
        <f t="shared" si="6"/>
        <v>-2.835728557084761</v>
      </c>
      <c r="E90">
        <v>4.4000000000000004</v>
      </c>
      <c r="F90" s="3">
        <f t="shared" si="7"/>
        <v>6.1502347417840486</v>
      </c>
      <c r="G90">
        <f t="shared" si="10"/>
        <v>5.9962228517469329</v>
      </c>
      <c r="H90" s="3" t="str">
        <f t="shared" si="8"/>
        <v>HIGH</v>
      </c>
      <c r="I90" s="3">
        <f t="shared" si="9"/>
        <v>-1.7502347417840483</v>
      </c>
      <c r="J90" s="3"/>
      <c r="K90" s="3"/>
      <c r="L90" s="3"/>
      <c r="M90" s="3"/>
      <c r="N90">
        <v>0</v>
      </c>
    </row>
    <row r="91" spans="1:14" x14ac:dyDescent="0.35">
      <c r="A91" s="1">
        <v>43983</v>
      </c>
      <c r="B91">
        <v>151.80000000000001</v>
      </c>
      <c r="C91" s="2">
        <v>10302.1</v>
      </c>
      <c r="D91">
        <f t="shared" si="6"/>
        <v>7.534210828470937</v>
      </c>
      <c r="E91">
        <v>4</v>
      </c>
      <c r="F91" s="3">
        <f t="shared" ref="F91:F102" si="11">(B91-B79)/B79 * 100</f>
        <v>6.2281315605318444</v>
      </c>
      <c r="G91">
        <f t="shared" si="10"/>
        <v>6.1502347417840486</v>
      </c>
      <c r="H91" s="3" t="str">
        <f t="shared" si="8"/>
        <v>HIGH</v>
      </c>
      <c r="I91" s="3">
        <f t="shared" si="9"/>
        <v>-2.2281315605318444</v>
      </c>
      <c r="J91" s="3"/>
      <c r="K91" s="3"/>
      <c r="L91" s="3"/>
      <c r="M91" s="3"/>
      <c r="N91">
        <v>0</v>
      </c>
    </row>
    <row r="92" spans="1:14" x14ac:dyDescent="0.35">
      <c r="A92" s="1">
        <v>44013</v>
      </c>
      <c r="B92">
        <v>151.80000000000001</v>
      </c>
      <c r="C92" s="2">
        <v>11073.45</v>
      </c>
      <c r="D92">
        <f t="shared" si="6"/>
        <v>7.4873084128478693</v>
      </c>
      <c r="E92">
        <v>4</v>
      </c>
      <c r="F92" s="3">
        <f t="shared" si="11"/>
        <v>5.27045769764218</v>
      </c>
      <c r="G92">
        <f t="shared" si="10"/>
        <v>6.2281315605318444</v>
      </c>
      <c r="H92" s="3" t="str">
        <f t="shared" si="8"/>
        <v>NORMAL</v>
      </c>
      <c r="I92" s="3">
        <f t="shared" si="9"/>
        <v>-1.27045769764218</v>
      </c>
      <c r="J92" s="3"/>
      <c r="K92" s="3"/>
      <c r="L92" s="3"/>
      <c r="M92" s="3"/>
      <c r="N92">
        <v>0</v>
      </c>
    </row>
    <row r="93" spans="1:14" x14ac:dyDescent="0.35">
      <c r="A93" s="1">
        <v>44044</v>
      </c>
      <c r="B93">
        <v>153.9</v>
      </c>
      <c r="C93" s="2">
        <v>11387.5</v>
      </c>
      <c r="D93">
        <f t="shared" si="6"/>
        <v>2.8360628349791552</v>
      </c>
      <c r="E93">
        <v>4</v>
      </c>
      <c r="F93" s="3">
        <f t="shared" si="11"/>
        <v>6.1379310344827624</v>
      </c>
      <c r="G93">
        <f t="shared" si="10"/>
        <v>5.27045769764218</v>
      </c>
      <c r="H93" s="3" t="str">
        <f t="shared" si="8"/>
        <v>HIGH</v>
      </c>
      <c r="I93" s="3">
        <f t="shared" si="9"/>
        <v>-2.1379310344827624</v>
      </c>
      <c r="J93" s="3"/>
      <c r="K93" s="3"/>
      <c r="L93" s="3"/>
      <c r="M93" s="3"/>
      <c r="N93">
        <v>0</v>
      </c>
    </row>
    <row r="94" spans="1:14" x14ac:dyDescent="0.35">
      <c r="A94" s="1">
        <v>44075</v>
      </c>
      <c r="B94">
        <v>154.69999999999999</v>
      </c>
      <c r="C94" s="2">
        <v>11247.55</v>
      </c>
      <c r="D94">
        <f t="shared" si="6"/>
        <v>-1.2289791437980306</v>
      </c>
      <c r="E94">
        <v>4</v>
      </c>
      <c r="F94" s="3">
        <f t="shared" si="11"/>
        <v>6.1042524005486802</v>
      </c>
      <c r="G94">
        <f t="shared" si="10"/>
        <v>6.1379310344827624</v>
      </c>
      <c r="H94" s="3" t="str">
        <f t="shared" si="8"/>
        <v>HIGH</v>
      </c>
      <c r="I94" s="3">
        <f t="shared" si="9"/>
        <v>-2.1042524005486802</v>
      </c>
      <c r="J94" s="3"/>
      <c r="K94" s="3"/>
      <c r="L94" s="3"/>
      <c r="M94" s="3"/>
      <c r="N94">
        <v>0</v>
      </c>
    </row>
    <row r="95" spans="1:14" x14ac:dyDescent="0.35">
      <c r="A95" s="1">
        <v>44105</v>
      </c>
      <c r="B95">
        <v>156.4</v>
      </c>
      <c r="C95" s="2">
        <v>11642.4</v>
      </c>
      <c r="D95">
        <f t="shared" si="6"/>
        <v>3.5105422958777721</v>
      </c>
      <c r="E95">
        <v>4</v>
      </c>
      <c r="F95" s="3">
        <f t="shared" si="11"/>
        <v>6.2500000000000124</v>
      </c>
      <c r="G95">
        <f t="shared" si="10"/>
        <v>6.1042524005486802</v>
      </c>
      <c r="H95" s="3" t="str">
        <f t="shared" si="8"/>
        <v>HIGH</v>
      </c>
      <c r="I95" s="3">
        <f t="shared" si="9"/>
        <v>-2.2500000000000124</v>
      </c>
      <c r="J95" s="3"/>
      <c r="K95" s="3"/>
      <c r="L95" s="3"/>
      <c r="M95" s="3"/>
      <c r="N95">
        <v>0</v>
      </c>
    </row>
    <row r="96" spans="1:14" x14ac:dyDescent="0.35">
      <c r="A96" s="1">
        <v>44136</v>
      </c>
      <c r="B96">
        <v>158.4</v>
      </c>
      <c r="C96" s="2">
        <v>12968.95</v>
      </c>
      <c r="D96">
        <f t="shared" si="6"/>
        <v>11.394128358414083</v>
      </c>
      <c r="E96">
        <v>4</v>
      </c>
      <c r="F96" s="3">
        <f t="shared" si="11"/>
        <v>6.594885598923292</v>
      </c>
      <c r="G96">
        <f t="shared" si="10"/>
        <v>6.2500000000000124</v>
      </c>
      <c r="H96" s="3" t="str">
        <f t="shared" si="8"/>
        <v>HIGH</v>
      </c>
      <c r="I96" s="3">
        <f t="shared" si="9"/>
        <v>-2.594885598923292</v>
      </c>
      <c r="J96" s="3"/>
      <c r="K96" s="3"/>
      <c r="L96" s="3"/>
      <c r="M96" s="3"/>
      <c r="N96">
        <v>0</v>
      </c>
    </row>
    <row r="97" spans="1:14" x14ac:dyDescent="0.35">
      <c r="A97" s="1">
        <v>44166</v>
      </c>
      <c r="B97">
        <v>158.9</v>
      </c>
      <c r="C97" s="2">
        <v>13981.75</v>
      </c>
      <c r="D97">
        <f t="shared" si="6"/>
        <v>7.8094217342190326</v>
      </c>
      <c r="E97">
        <v>4</v>
      </c>
      <c r="F97" s="3">
        <f t="shared" si="11"/>
        <v>5.6515957446808507</v>
      </c>
      <c r="G97">
        <f t="shared" si="10"/>
        <v>6.594885598923292</v>
      </c>
      <c r="H97" s="3" t="str">
        <f t="shared" si="8"/>
        <v>NORMAL</v>
      </c>
      <c r="I97" s="3">
        <f t="shared" si="9"/>
        <v>-1.6515957446808507</v>
      </c>
      <c r="J97" s="3"/>
      <c r="K97" s="3"/>
      <c r="L97" s="3"/>
      <c r="M97" s="3"/>
      <c r="N97">
        <v>0</v>
      </c>
    </row>
    <row r="98" spans="1:14" x14ac:dyDescent="0.35">
      <c r="A98" s="1">
        <v>44197</v>
      </c>
      <c r="B98">
        <v>157.30000000000001</v>
      </c>
      <c r="C98" s="2">
        <v>13634.6</v>
      </c>
      <c r="D98">
        <f t="shared" si="6"/>
        <v>-2.4828794678777668</v>
      </c>
      <c r="E98">
        <v>4</v>
      </c>
      <c r="F98" s="3">
        <f t="shared" si="11"/>
        <v>4.7270306258322385</v>
      </c>
      <c r="G98">
        <f t="shared" si="10"/>
        <v>5.6515957446808507</v>
      </c>
      <c r="H98" s="3" t="str">
        <f t="shared" si="8"/>
        <v>NORMAL</v>
      </c>
      <c r="I98" s="3">
        <f t="shared" si="9"/>
        <v>-0.72703062583223854</v>
      </c>
      <c r="J98" s="3"/>
      <c r="K98" s="3"/>
      <c r="L98" s="3"/>
      <c r="M98" s="3"/>
      <c r="N98">
        <v>0</v>
      </c>
    </row>
    <row r="99" spans="1:14" x14ac:dyDescent="0.35">
      <c r="A99" s="1">
        <v>44228</v>
      </c>
      <c r="B99">
        <v>156.6</v>
      </c>
      <c r="C99" s="2">
        <v>14529.15</v>
      </c>
      <c r="D99">
        <f t="shared" si="6"/>
        <v>6.5608818740557062</v>
      </c>
      <c r="E99">
        <v>4</v>
      </c>
      <c r="F99" s="3">
        <f>(B99-B87)/B87 * 100</f>
        <v>5.0301810865191152</v>
      </c>
      <c r="G99">
        <f t="shared" si="10"/>
        <v>4.7270306258322385</v>
      </c>
      <c r="H99" s="3" t="str">
        <f t="shared" si="8"/>
        <v>NORMAL</v>
      </c>
      <c r="I99" s="3">
        <f t="shared" si="9"/>
        <v>-1.0301810865191152</v>
      </c>
      <c r="J99" s="3"/>
      <c r="K99" s="3"/>
      <c r="L99" s="3"/>
      <c r="M99" s="3"/>
      <c r="N99">
        <v>0</v>
      </c>
    </row>
    <row r="100" spans="1:14" x14ac:dyDescent="0.35">
      <c r="A100" s="1">
        <v>44256</v>
      </c>
      <c r="B100">
        <v>156.80000000000001</v>
      </c>
      <c r="C100" s="2">
        <v>14690.7</v>
      </c>
      <c r="D100">
        <f t="shared" si="6"/>
        <v>1.1119026233468654</v>
      </c>
      <c r="E100">
        <v>4</v>
      </c>
      <c r="F100" s="3">
        <f t="shared" si="11"/>
        <v>5.5181695827725559</v>
      </c>
      <c r="G100">
        <f t="shared" si="10"/>
        <v>5.0301810865191152</v>
      </c>
      <c r="H100" s="3" t="str">
        <f t="shared" si="8"/>
        <v>NORMAL</v>
      </c>
      <c r="I100" s="3">
        <f t="shared" si="9"/>
        <v>-1.5181695827725559</v>
      </c>
      <c r="J100" s="3"/>
      <c r="K100" s="3"/>
      <c r="L100" s="3"/>
      <c r="M100" s="3"/>
      <c r="N100">
        <v>0</v>
      </c>
    </row>
    <row r="101" spans="1:14" x14ac:dyDescent="0.35">
      <c r="A101" s="1">
        <v>44287</v>
      </c>
      <c r="B101">
        <v>157.80000000000001</v>
      </c>
      <c r="C101" s="2">
        <v>14631.1</v>
      </c>
      <c r="D101">
        <f t="shared" si="6"/>
        <v>-0.40569884348601742</v>
      </c>
      <c r="E101">
        <v>4</v>
      </c>
      <c r="F101" s="3">
        <f t="shared" si="11"/>
        <v>5.4342984409799699</v>
      </c>
      <c r="G101">
        <f t="shared" si="10"/>
        <v>5.5181695827725559</v>
      </c>
      <c r="H101" s="3" t="str">
        <f t="shared" si="8"/>
        <v>NORMAL</v>
      </c>
      <c r="I101" s="3">
        <f t="shared" si="9"/>
        <v>-1.4342984409799699</v>
      </c>
      <c r="J101" s="3"/>
      <c r="K101" s="3"/>
      <c r="L101" s="3"/>
      <c r="M101" s="3"/>
      <c r="N101">
        <v>0</v>
      </c>
    </row>
    <row r="102" spans="1:14" x14ac:dyDescent="0.35">
      <c r="A102" s="1">
        <v>44317</v>
      </c>
      <c r="B102">
        <v>160.4</v>
      </c>
      <c r="C102" s="2">
        <v>15582.8</v>
      </c>
      <c r="D102">
        <f t="shared" si="6"/>
        <v>6.504637382015015</v>
      </c>
      <c r="E102">
        <v>4</v>
      </c>
      <c r="F102" s="3">
        <f t="shared" si="11"/>
        <v>6.4130915524104308</v>
      </c>
      <c r="G102">
        <f t="shared" si="10"/>
        <v>5.4342984409799699</v>
      </c>
      <c r="H102" s="3" t="str">
        <f t="shared" si="8"/>
        <v>HIGH</v>
      </c>
      <c r="I102" s="3">
        <f t="shared" si="9"/>
        <v>-2.4130915524104308</v>
      </c>
      <c r="J102" s="3"/>
      <c r="K102" s="3"/>
      <c r="L102" s="3"/>
      <c r="M102" s="3"/>
      <c r="N102">
        <v>0</v>
      </c>
    </row>
    <row r="103" spans="1:14" x14ac:dyDescent="0.35">
      <c r="A103" s="1">
        <v>44348</v>
      </c>
      <c r="B103">
        <v>161.30000000000001</v>
      </c>
      <c r="C103" s="2">
        <v>15721.5</v>
      </c>
      <c r="D103">
        <f t="shared" si="6"/>
        <v>0.89008393870165015</v>
      </c>
      <c r="E103">
        <v>4</v>
      </c>
      <c r="F103" s="3">
        <f t="shared" ref="F103:F132" si="12">(B103-B91)/B91 * 100</f>
        <v>6.2582345191040831</v>
      </c>
      <c r="G103">
        <f t="shared" si="10"/>
        <v>6.4130915524104308</v>
      </c>
      <c r="H103" s="3" t="str">
        <f t="shared" si="8"/>
        <v>HIGH</v>
      </c>
      <c r="I103" s="3">
        <f t="shared" si="9"/>
        <v>-2.2582345191040831</v>
      </c>
      <c r="J103" s="3"/>
      <c r="K103" s="3"/>
      <c r="L103" s="3"/>
      <c r="M103" s="3"/>
      <c r="N103">
        <v>0</v>
      </c>
    </row>
    <row r="104" spans="1:14" x14ac:dyDescent="0.35">
      <c r="A104" s="1">
        <v>44378</v>
      </c>
      <c r="B104">
        <v>162.5</v>
      </c>
      <c r="C104" s="2">
        <v>15763.05</v>
      </c>
      <c r="D104">
        <f t="shared" si="6"/>
        <v>0.26428775880163646</v>
      </c>
      <c r="E104">
        <v>4</v>
      </c>
      <c r="F104" s="3">
        <f t="shared" si="12"/>
        <v>7.0487483530961708</v>
      </c>
      <c r="G104">
        <f t="shared" si="10"/>
        <v>6.2582345191040831</v>
      </c>
      <c r="H104" s="3" t="str">
        <f t="shared" si="8"/>
        <v>HIGH</v>
      </c>
      <c r="I104" s="3">
        <f t="shared" si="9"/>
        <v>-3.0487483530961708</v>
      </c>
      <c r="J104" s="3"/>
      <c r="K104" s="3"/>
      <c r="L104" s="3"/>
      <c r="M104" s="3"/>
      <c r="N104">
        <v>0</v>
      </c>
    </row>
    <row r="105" spans="1:14" x14ac:dyDescent="0.35">
      <c r="A105" s="1">
        <v>44409</v>
      </c>
      <c r="B105">
        <v>163.19999999999999</v>
      </c>
      <c r="C105" s="2">
        <v>17132.2</v>
      </c>
      <c r="D105">
        <f t="shared" si="6"/>
        <v>8.6858190515160558</v>
      </c>
      <c r="E105">
        <v>4</v>
      </c>
      <c r="F105" s="3">
        <f t="shared" si="12"/>
        <v>6.0428849902534001</v>
      </c>
      <c r="G105">
        <f t="shared" si="10"/>
        <v>7.0487483530961708</v>
      </c>
      <c r="H105" s="3" t="str">
        <f t="shared" si="8"/>
        <v>HIGH</v>
      </c>
      <c r="I105" s="3">
        <f t="shared" si="9"/>
        <v>-2.0428849902534001</v>
      </c>
      <c r="J105" s="3"/>
      <c r="K105" s="3"/>
      <c r="L105" s="3"/>
      <c r="M105" s="3"/>
      <c r="N105">
        <v>0</v>
      </c>
    </row>
    <row r="106" spans="1:14" x14ac:dyDescent="0.35">
      <c r="A106" s="1">
        <v>44440</v>
      </c>
      <c r="B106">
        <v>163.19999999999999</v>
      </c>
      <c r="C106" s="2">
        <v>17618.150000000001</v>
      </c>
      <c r="D106">
        <f t="shared" si="6"/>
        <v>2.8364716732235244</v>
      </c>
      <c r="E106">
        <v>4</v>
      </c>
      <c r="F106" s="3">
        <f t="shared" si="12"/>
        <v>5.4945054945054954</v>
      </c>
      <c r="G106">
        <f t="shared" si="10"/>
        <v>6.0428849902534001</v>
      </c>
      <c r="H106" s="3" t="str">
        <f t="shared" si="8"/>
        <v>NORMAL</v>
      </c>
      <c r="I106" s="3">
        <f t="shared" si="9"/>
        <v>-1.4945054945054954</v>
      </c>
      <c r="J106" s="3"/>
      <c r="K106" s="3"/>
      <c r="L106" s="3"/>
      <c r="M106" s="3"/>
      <c r="N106">
        <v>0</v>
      </c>
    </row>
    <row r="107" spans="1:14" x14ac:dyDescent="0.35">
      <c r="A107" s="1">
        <v>44470</v>
      </c>
      <c r="B107">
        <v>165.5</v>
      </c>
      <c r="C107" s="2">
        <v>17671.650000000001</v>
      </c>
      <c r="D107">
        <f t="shared" si="6"/>
        <v>0.30366411910444624</v>
      </c>
      <c r="E107">
        <v>4</v>
      </c>
      <c r="F107" s="3">
        <f t="shared" si="12"/>
        <v>5.8184143222506357</v>
      </c>
      <c r="G107">
        <f t="shared" si="10"/>
        <v>5.4945054945054954</v>
      </c>
      <c r="H107" s="3" t="str">
        <f t="shared" si="8"/>
        <v>NORMAL</v>
      </c>
      <c r="I107" s="3">
        <f t="shared" si="9"/>
        <v>-1.8184143222506357</v>
      </c>
      <c r="J107" s="3"/>
      <c r="K107" s="3"/>
      <c r="L107" s="3"/>
      <c r="M107" s="3"/>
      <c r="N107">
        <v>0</v>
      </c>
    </row>
    <row r="108" spans="1:14" x14ac:dyDescent="0.35">
      <c r="A108" s="1">
        <v>44501</v>
      </c>
      <c r="B108">
        <v>166.7</v>
      </c>
      <c r="C108" s="2">
        <v>16983.2</v>
      </c>
      <c r="D108">
        <f t="shared" si="6"/>
        <v>-3.8957878862471853</v>
      </c>
      <c r="E108">
        <v>4</v>
      </c>
      <c r="F108" s="3">
        <f t="shared" si="12"/>
        <v>5.239898989898979</v>
      </c>
      <c r="G108">
        <f t="shared" si="10"/>
        <v>5.8184143222506357</v>
      </c>
      <c r="H108" s="3" t="str">
        <f t="shared" si="8"/>
        <v>NORMAL</v>
      </c>
      <c r="I108" s="3">
        <f t="shared" si="9"/>
        <v>-1.239898989898979</v>
      </c>
      <c r="J108" s="3"/>
      <c r="K108" s="3"/>
      <c r="L108" s="3"/>
      <c r="M108" s="3"/>
      <c r="N108">
        <v>0</v>
      </c>
    </row>
    <row r="109" spans="1:14" x14ac:dyDescent="0.35">
      <c r="A109" s="1">
        <v>44531</v>
      </c>
      <c r="B109">
        <v>166.2</v>
      </c>
      <c r="C109" s="2">
        <v>17354.05</v>
      </c>
      <c r="D109">
        <f t="shared" si="6"/>
        <v>2.1836285270149238</v>
      </c>
      <c r="E109">
        <v>4</v>
      </c>
      <c r="F109" s="3">
        <f t="shared" si="12"/>
        <v>4.5940843297671385</v>
      </c>
      <c r="G109">
        <f t="shared" si="10"/>
        <v>5.239898989898979</v>
      </c>
      <c r="H109" s="3" t="str">
        <f t="shared" si="8"/>
        <v>NORMAL</v>
      </c>
      <c r="I109" s="3">
        <f t="shared" si="9"/>
        <v>-0.59408432976713854</v>
      </c>
      <c r="J109" s="3"/>
      <c r="K109" s="3"/>
      <c r="L109" s="3"/>
      <c r="M109" s="3"/>
      <c r="N109">
        <v>0</v>
      </c>
    </row>
    <row r="110" spans="1:14" x14ac:dyDescent="0.35">
      <c r="A110" s="1">
        <v>44562</v>
      </c>
      <c r="B110">
        <v>165.7</v>
      </c>
      <c r="C110" s="2">
        <v>17339.849999999999</v>
      </c>
      <c r="D110">
        <f t="shared" si="6"/>
        <v>-8.1825279977876794E-2</v>
      </c>
      <c r="E110">
        <v>4</v>
      </c>
      <c r="F110" s="3">
        <f t="shared" si="12"/>
        <v>5.3401144310235074</v>
      </c>
      <c r="G110">
        <f t="shared" si="10"/>
        <v>4.5940843297671385</v>
      </c>
      <c r="H110" s="3" t="str">
        <f t="shared" si="8"/>
        <v>NORMAL</v>
      </c>
      <c r="I110" s="3">
        <f t="shared" si="9"/>
        <v>-1.3401144310235074</v>
      </c>
      <c r="J110" s="3"/>
      <c r="K110" s="3"/>
      <c r="L110" s="3"/>
      <c r="M110" s="3"/>
      <c r="N110">
        <v>0</v>
      </c>
    </row>
    <row r="111" spans="1:14" x14ac:dyDescent="0.35">
      <c r="A111" s="1">
        <v>44593</v>
      </c>
      <c r="B111">
        <v>166.1</v>
      </c>
      <c r="C111" s="2">
        <v>16793.900000000001</v>
      </c>
      <c r="D111">
        <f t="shared" si="6"/>
        <v>-3.1485278131010195</v>
      </c>
      <c r="E111">
        <v>4</v>
      </c>
      <c r="F111" s="3">
        <f t="shared" si="12"/>
        <v>6.0664112388250322</v>
      </c>
      <c r="G111">
        <f t="shared" si="10"/>
        <v>5.3401144310235074</v>
      </c>
      <c r="H111" s="3" t="str">
        <f t="shared" si="8"/>
        <v>HIGH</v>
      </c>
      <c r="I111" s="3">
        <f t="shared" si="9"/>
        <v>-2.0664112388250322</v>
      </c>
      <c r="J111" s="3"/>
      <c r="K111" s="3"/>
      <c r="L111" s="3"/>
      <c r="M111" s="3"/>
      <c r="N111">
        <v>0</v>
      </c>
    </row>
    <row r="112" spans="1:14" x14ac:dyDescent="0.35">
      <c r="A112" s="1">
        <v>44621</v>
      </c>
      <c r="B112">
        <v>167.7</v>
      </c>
      <c r="C112" s="2">
        <v>17464.75</v>
      </c>
      <c r="D112">
        <f t="shared" si="6"/>
        <v>3.9946051840251426</v>
      </c>
      <c r="E112">
        <v>4</v>
      </c>
      <c r="F112" s="3">
        <f t="shared" si="12"/>
        <v>6.9515306122448823</v>
      </c>
      <c r="G112">
        <f t="shared" si="10"/>
        <v>6.0664112388250322</v>
      </c>
      <c r="H112" s="3" t="str">
        <f t="shared" si="8"/>
        <v>HIGH</v>
      </c>
      <c r="I112" s="3">
        <f t="shared" si="9"/>
        <v>-2.9515306122448823</v>
      </c>
      <c r="J112" s="3"/>
      <c r="K112" s="3"/>
      <c r="L112" s="3"/>
      <c r="M112" s="3"/>
      <c r="N112">
        <v>0</v>
      </c>
    </row>
    <row r="113" spans="1:14" x14ac:dyDescent="0.35">
      <c r="A113" s="1">
        <v>44652</v>
      </c>
      <c r="B113">
        <v>170.1</v>
      </c>
      <c r="C113" s="2">
        <v>17102.55</v>
      </c>
      <c r="D113">
        <f t="shared" si="6"/>
        <v>-2.0738916961307816</v>
      </c>
      <c r="E113">
        <v>4</v>
      </c>
      <c r="F113" s="3">
        <f t="shared" si="12"/>
        <v>7.7946768060836389</v>
      </c>
      <c r="G113">
        <f t="shared" si="10"/>
        <v>6.9515306122448823</v>
      </c>
      <c r="H113" s="3" t="str">
        <f t="shared" si="8"/>
        <v>HIGH</v>
      </c>
      <c r="I113" s="3">
        <f t="shared" si="9"/>
        <v>-3.7946768060836389</v>
      </c>
      <c r="J113" s="3"/>
      <c r="K113" s="3"/>
      <c r="L113" s="3"/>
      <c r="M113" s="3"/>
      <c r="N113">
        <v>0</v>
      </c>
    </row>
    <row r="114" spans="1:14" x14ac:dyDescent="0.35">
      <c r="A114" s="1">
        <v>44682</v>
      </c>
      <c r="B114">
        <v>171.7</v>
      </c>
      <c r="C114" s="2">
        <v>16584.55</v>
      </c>
      <c r="D114">
        <f t="shared" si="6"/>
        <v>-3.0287881046978375</v>
      </c>
      <c r="E114">
        <v>4.4000000000000004</v>
      </c>
      <c r="F114" s="3">
        <f t="shared" si="12"/>
        <v>7.044887780548617</v>
      </c>
      <c r="G114">
        <f t="shared" si="10"/>
        <v>7.7946768060836389</v>
      </c>
      <c r="H114" s="3" t="str">
        <f t="shared" si="8"/>
        <v>HIGH</v>
      </c>
      <c r="I114" s="3">
        <f t="shared" si="9"/>
        <v>-2.6448877805486166</v>
      </c>
      <c r="J114" s="3"/>
      <c r="K114" s="3"/>
      <c r="L114" s="3"/>
      <c r="M114" s="3"/>
      <c r="N114">
        <v>0</v>
      </c>
    </row>
    <row r="115" spans="1:14" x14ac:dyDescent="0.35">
      <c r="A115" s="1">
        <v>44713</v>
      </c>
      <c r="B115">
        <v>172.6</v>
      </c>
      <c r="C115" s="2">
        <v>15780.25</v>
      </c>
      <c r="D115">
        <f t="shared" si="6"/>
        <v>-4.8496944445281862</v>
      </c>
      <c r="E115">
        <v>4.9000000000000004</v>
      </c>
      <c r="F115" s="3">
        <f t="shared" si="12"/>
        <v>7.0055796652200755</v>
      </c>
      <c r="G115">
        <f t="shared" si="10"/>
        <v>7.044887780548617</v>
      </c>
      <c r="H115" s="3" t="str">
        <f t="shared" si="8"/>
        <v>HIGH</v>
      </c>
      <c r="I115" s="3">
        <f t="shared" si="9"/>
        <v>-2.1055796652200751</v>
      </c>
      <c r="J115" s="3"/>
      <c r="K115" s="3"/>
      <c r="L115" s="3"/>
      <c r="M115" s="3"/>
      <c r="N115">
        <v>0</v>
      </c>
    </row>
    <row r="116" spans="1:14" x14ac:dyDescent="0.35">
      <c r="A116" s="1">
        <v>44743</v>
      </c>
      <c r="B116">
        <v>173.4</v>
      </c>
      <c r="C116" s="2">
        <v>17158.25</v>
      </c>
      <c r="D116">
        <f t="shared" si="6"/>
        <v>8.7324345305049036</v>
      </c>
      <c r="E116">
        <v>4.9000000000000004</v>
      </c>
      <c r="F116" s="3">
        <f t="shared" si="12"/>
        <v>6.7076923076923114</v>
      </c>
      <c r="G116">
        <f t="shared" si="10"/>
        <v>7.0055796652200755</v>
      </c>
      <c r="H116" s="3" t="str">
        <f t="shared" si="8"/>
        <v>HIGH</v>
      </c>
      <c r="I116" s="3">
        <f t="shared" si="9"/>
        <v>-1.807692307692311</v>
      </c>
      <c r="J116" s="3"/>
      <c r="K116" s="3"/>
      <c r="L116" s="3"/>
      <c r="M116" s="3"/>
      <c r="N116">
        <v>0</v>
      </c>
    </row>
    <row r="117" spans="1:14" x14ac:dyDescent="0.35">
      <c r="A117" s="1">
        <v>44774</v>
      </c>
      <c r="B117">
        <v>174.3</v>
      </c>
      <c r="C117" s="2">
        <v>17759.3</v>
      </c>
      <c r="D117">
        <f t="shared" si="6"/>
        <v>3.5029796162195987</v>
      </c>
      <c r="E117">
        <v>5.4</v>
      </c>
      <c r="F117" s="3">
        <f t="shared" si="12"/>
        <v>6.8014705882353086</v>
      </c>
      <c r="G117">
        <f t="shared" si="10"/>
        <v>6.7076923076923114</v>
      </c>
      <c r="H117" s="3" t="str">
        <f t="shared" si="8"/>
        <v>HIGH</v>
      </c>
      <c r="I117" s="3">
        <f t="shared" si="9"/>
        <v>-1.4014705882353082</v>
      </c>
      <c r="J117" s="3"/>
      <c r="K117" s="3"/>
      <c r="L117" s="3"/>
      <c r="M117" s="3"/>
      <c r="N117">
        <v>0</v>
      </c>
    </row>
    <row r="118" spans="1:14" x14ac:dyDescent="0.35">
      <c r="A118" s="1">
        <v>44805</v>
      </c>
      <c r="B118">
        <v>175.3</v>
      </c>
      <c r="C118" s="2">
        <v>17094.349999999999</v>
      </c>
      <c r="D118">
        <f t="shared" si="6"/>
        <v>-3.7442354146841419</v>
      </c>
      <c r="E118">
        <v>5.4</v>
      </c>
      <c r="F118" s="3">
        <f t="shared" si="12"/>
        <v>7.4142156862745239</v>
      </c>
      <c r="G118">
        <f t="shared" si="10"/>
        <v>6.8014705882353086</v>
      </c>
      <c r="H118" s="3" t="str">
        <f t="shared" si="8"/>
        <v>HIGH</v>
      </c>
      <c r="I118" s="3">
        <f t="shared" si="9"/>
        <v>-2.0142156862745235</v>
      </c>
      <c r="J118" s="3"/>
      <c r="K118" s="3"/>
      <c r="L118" s="3"/>
      <c r="M118" s="3"/>
      <c r="N118">
        <v>0</v>
      </c>
    </row>
    <row r="119" spans="1:14" x14ac:dyDescent="0.35">
      <c r="A119" s="1">
        <v>44835</v>
      </c>
      <c r="B119">
        <v>176.7</v>
      </c>
      <c r="C119" s="2">
        <v>18012.2</v>
      </c>
      <c r="D119">
        <f t="shared" si="6"/>
        <v>5.3693179325332769</v>
      </c>
      <c r="E119">
        <v>5.9</v>
      </c>
      <c r="F119" s="3">
        <f t="shared" si="12"/>
        <v>6.7673716012084526</v>
      </c>
      <c r="G119">
        <f t="shared" si="10"/>
        <v>7.4142156862745239</v>
      </c>
      <c r="H119" s="3" t="str">
        <f t="shared" si="8"/>
        <v>HIGH</v>
      </c>
      <c r="I119" s="3">
        <f t="shared" si="9"/>
        <v>-0.86737160120845225</v>
      </c>
      <c r="J119" s="3"/>
      <c r="K119" s="3"/>
      <c r="L119" s="3"/>
      <c r="M119" s="3"/>
      <c r="N119">
        <v>0</v>
      </c>
    </row>
    <row r="120" spans="1:14" x14ac:dyDescent="0.35">
      <c r="A120" s="1">
        <v>44866</v>
      </c>
      <c r="B120">
        <v>176.5</v>
      </c>
      <c r="C120" s="2">
        <v>18758.349999999999</v>
      </c>
      <c r="D120">
        <f t="shared" si="6"/>
        <v>4.1424701035964393</v>
      </c>
      <c r="E120">
        <v>5.9</v>
      </c>
      <c r="F120" s="3">
        <f t="shared" si="12"/>
        <v>5.8788242351529769</v>
      </c>
      <c r="G120">
        <f t="shared" si="10"/>
        <v>6.7673716012084526</v>
      </c>
      <c r="H120" s="3" t="str">
        <f t="shared" si="8"/>
        <v>NORMAL</v>
      </c>
      <c r="I120" s="3">
        <f t="shared" si="9"/>
        <v>2.1175764847023437E-2</v>
      </c>
      <c r="J120" s="3"/>
      <c r="K120" s="3"/>
      <c r="L120" s="3"/>
      <c r="M120" s="3"/>
      <c r="N120">
        <v>0</v>
      </c>
    </row>
    <row r="121" spans="1:14" x14ac:dyDescent="0.35">
      <c r="A121" s="1">
        <v>44896</v>
      </c>
      <c r="B121">
        <v>175.7</v>
      </c>
      <c r="C121" s="2">
        <v>18105.3</v>
      </c>
      <c r="D121">
        <f t="shared" si="6"/>
        <v>-3.4813829574562756</v>
      </c>
      <c r="E121">
        <v>6.25</v>
      </c>
      <c r="F121" s="3">
        <f t="shared" si="12"/>
        <v>5.7160048134777384</v>
      </c>
      <c r="G121">
        <f t="shared" si="10"/>
        <v>5.8788242351529769</v>
      </c>
      <c r="H121" s="3" t="str">
        <f t="shared" si="8"/>
        <v>NORMAL</v>
      </c>
      <c r="I121" s="3">
        <f t="shared" si="9"/>
        <v>0.53399518652226163</v>
      </c>
      <c r="J121" s="3"/>
      <c r="K121" s="3"/>
      <c r="L121" s="3"/>
      <c r="M121" s="3"/>
      <c r="N121">
        <v>0</v>
      </c>
    </row>
    <row r="122" spans="1:14" x14ac:dyDescent="0.35">
      <c r="A122" s="1">
        <v>44927</v>
      </c>
      <c r="B122">
        <v>176.5</v>
      </c>
      <c r="C122" s="2">
        <v>17662.150000000001</v>
      </c>
      <c r="D122">
        <f t="shared" si="6"/>
        <v>-2.4476258333195133</v>
      </c>
      <c r="E122">
        <v>6.5</v>
      </c>
      <c r="F122" s="3">
        <f t="shared" si="12"/>
        <v>6.5178032589016377</v>
      </c>
      <c r="G122">
        <f t="shared" si="10"/>
        <v>5.7160048134777384</v>
      </c>
      <c r="H122" s="3" t="str">
        <f t="shared" si="8"/>
        <v>HIGH</v>
      </c>
      <c r="I122" s="3">
        <f t="shared" si="9"/>
        <v>-1.7803258901637697E-2</v>
      </c>
      <c r="J122" s="3"/>
      <c r="K122" s="3"/>
      <c r="L122" s="3"/>
      <c r="M122" s="3"/>
      <c r="N122">
        <v>0</v>
      </c>
    </row>
    <row r="123" spans="1:14" x14ac:dyDescent="0.35">
      <c r="A123" s="1">
        <v>44958</v>
      </c>
      <c r="B123">
        <v>177.2</v>
      </c>
      <c r="C123" s="2">
        <v>17303.95</v>
      </c>
      <c r="D123">
        <f t="shared" si="6"/>
        <v>-2.0280656658447622</v>
      </c>
      <c r="E123">
        <v>6.5</v>
      </c>
      <c r="F123" s="3">
        <f t="shared" si="12"/>
        <v>6.6827212522576733</v>
      </c>
      <c r="G123">
        <f t="shared" si="10"/>
        <v>6.5178032589016377</v>
      </c>
      <c r="H123" s="3" t="str">
        <f t="shared" si="8"/>
        <v>HIGH</v>
      </c>
      <c r="I123" s="3">
        <f t="shared" si="9"/>
        <v>-0.18272125225767333</v>
      </c>
      <c r="J123" s="3"/>
      <c r="K123" s="3"/>
      <c r="L123" s="3"/>
      <c r="M123" s="3"/>
      <c r="N123">
        <v>0</v>
      </c>
    </row>
    <row r="124" spans="1:14" x14ac:dyDescent="0.35">
      <c r="A124" s="1">
        <v>44986</v>
      </c>
      <c r="B124">
        <v>177.2</v>
      </c>
      <c r="C124" s="2">
        <v>17359.75</v>
      </c>
      <c r="D124">
        <f t="shared" si="6"/>
        <v>0.32246972512056077</v>
      </c>
      <c r="E124">
        <v>6.5</v>
      </c>
      <c r="F124" s="3">
        <f t="shared" si="12"/>
        <v>5.6648777579010146</v>
      </c>
      <c r="G124">
        <f t="shared" si="10"/>
        <v>6.6827212522576733</v>
      </c>
      <c r="H124" s="3" t="str">
        <f t="shared" si="8"/>
        <v>NORMAL</v>
      </c>
      <c r="I124" s="3">
        <f t="shared" si="9"/>
        <v>0.83512224209898545</v>
      </c>
      <c r="J124" s="3"/>
      <c r="K124" s="3"/>
      <c r="L124" s="3"/>
      <c r="M124" s="3"/>
      <c r="N124">
        <v>0</v>
      </c>
    </row>
    <row r="125" spans="1:14" x14ac:dyDescent="0.35">
      <c r="A125" s="1">
        <v>45017</v>
      </c>
      <c r="B125">
        <v>178.1</v>
      </c>
      <c r="C125" s="2">
        <v>18065</v>
      </c>
      <c r="D125">
        <f t="shared" si="6"/>
        <v>4.0625585045867592</v>
      </c>
      <c r="E125">
        <v>6.5</v>
      </c>
      <c r="F125" s="3">
        <f t="shared" si="12"/>
        <v>4.7031158142269254</v>
      </c>
      <c r="G125">
        <f t="shared" si="10"/>
        <v>5.6648777579010146</v>
      </c>
      <c r="H125" s="3" t="str">
        <f t="shared" si="8"/>
        <v>NORMAL</v>
      </c>
      <c r="I125" s="3">
        <f t="shared" si="9"/>
        <v>1.7968841857730746</v>
      </c>
      <c r="J125" s="3"/>
      <c r="K125" s="3"/>
      <c r="L125" s="3"/>
      <c r="M125" s="3"/>
      <c r="N125">
        <v>0</v>
      </c>
    </row>
    <row r="126" spans="1:14" x14ac:dyDescent="0.35">
      <c r="A126" s="1">
        <v>45047</v>
      </c>
      <c r="B126">
        <v>179.1</v>
      </c>
      <c r="C126" s="2">
        <v>18534.400000000001</v>
      </c>
      <c r="D126">
        <f t="shared" si="6"/>
        <v>2.5983946858566367</v>
      </c>
      <c r="E126">
        <v>6.5</v>
      </c>
      <c r="F126" s="3">
        <f t="shared" si="12"/>
        <v>4.3098427489807838</v>
      </c>
      <c r="G126">
        <f t="shared" si="10"/>
        <v>4.7031158142269254</v>
      </c>
      <c r="H126" s="3" t="str">
        <f t="shared" si="8"/>
        <v>NORMAL</v>
      </c>
      <c r="I126" s="3">
        <f t="shared" si="9"/>
        <v>2.1901572510192162</v>
      </c>
      <c r="J126" s="3"/>
      <c r="K126" s="3"/>
      <c r="L126" s="3"/>
      <c r="M126" s="3"/>
      <c r="N126">
        <v>0</v>
      </c>
    </row>
    <row r="127" spans="1:14" x14ac:dyDescent="0.35">
      <c r="A127" s="1">
        <v>45078</v>
      </c>
      <c r="B127">
        <v>181</v>
      </c>
      <c r="C127" s="2">
        <v>19189.05</v>
      </c>
      <c r="D127">
        <f t="shared" si="6"/>
        <v>3.5320808874309275</v>
      </c>
      <c r="E127">
        <v>6.5</v>
      </c>
      <c r="F127" s="3">
        <f t="shared" si="12"/>
        <v>4.8667439165701074</v>
      </c>
      <c r="G127">
        <f t="shared" si="10"/>
        <v>4.3098427489807838</v>
      </c>
      <c r="H127" s="3" t="str">
        <f t="shared" si="8"/>
        <v>NORMAL</v>
      </c>
      <c r="I127" s="3">
        <f t="shared" si="9"/>
        <v>1.6332560834298926</v>
      </c>
      <c r="J127" s="3"/>
      <c r="K127" s="3"/>
      <c r="L127" s="3"/>
      <c r="M127" s="3"/>
      <c r="N127">
        <v>0</v>
      </c>
    </row>
    <row r="128" spans="1:14" x14ac:dyDescent="0.35">
      <c r="A128" s="1">
        <v>45108</v>
      </c>
      <c r="B128">
        <v>186.3</v>
      </c>
      <c r="C128" s="2">
        <v>19753.8</v>
      </c>
      <c r="D128">
        <f t="shared" si="6"/>
        <v>2.9430847280089427</v>
      </c>
      <c r="E128">
        <v>6.5</v>
      </c>
      <c r="F128" s="3">
        <f t="shared" si="12"/>
        <v>7.4394463667820094</v>
      </c>
      <c r="G128">
        <f t="shared" si="10"/>
        <v>4.8667439165701074</v>
      </c>
      <c r="H128" s="3" t="str">
        <f t="shared" si="8"/>
        <v>HIGH</v>
      </c>
      <c r="I128" s="3">
        <f t="shared" si="9"/>
        <v>-0.93944636678200943</v>
      </c>
      <c r="J128" s="3"/>
      <c r="K128" s="3"/>
      <c r="L128" s="3"/>
      <c r="M128" s="3"/>
      <c r="N128">
        <v>0</v>
      </c>
    </row>
    <row r="129" spans="1:14" x14ac:dyDescent="0.35">
      <c r="A129" s="1">
        <v>45139</v>
      </c>
      <c r="B129">
        <v>186.2</v>
      </c>
      <c r="C129" s="2">
        <v>19253.8</v>
      </c>
      <c r="D129">
        <f t="shared" si="6"/>
        <v>-2.5311585618969517</v>
      </c>
      <c r="E129">
        <v>6.5</v>
      </c>
      <c r="F129" s="3">
        <f t="shared" si="12"/>
        <v>6.8273092369477775</v>
      </c>
      <c r="G129">
        <f t="shared" si="10"/>
        <v>7.4394463667820094</v>
      </c>
      <c r="H129" s="3" t="str">
        <f t="shared" si="8"/>
        <v>HIGH</v>
      </c>
      <c r="I129" s="3">
        <f t="shared" si="9"/>
        <v>-0.32730923694777747</v>
      </c>
      <c r="J129" s="3"/>
      <c r="K129" s="3"/>
      <c r="L129" s="3"/>
      <c r="M129" s="3"/>
      <c r="N129">
        <v>0</v>
      </c>
    </row>
    <row r="130" spans="1:14" x14ac:dyDescent="0.35">
      <c r="A130" s="1">
        <v>45170</v>
      </c>
      <c r="B130">
        <v>184.1</v>
      </c>
      <c r="C130" s="2">
        <v>19638.3</v>
      </c>
      <c r="D130">
        <f t="shared" si="6"/>
        <v>1.9970083827608058</v>
      </c>
      <c r="E130">
        <v>6.5</v>
      </c>
      <c r="F130" s="3">
        <f t="shared" si="12"/>
        <v>5.0199657729606288</v>
      </c>
      <c r="G130">
        <f t="shared" si="10"/>
        <v>6.8273092369477775</v>
      </c>
      <c r="H130" s="3" t="str">
        <f t="shared" si="8"/>
        <v>NORMAL</v>
      </c>
      <c r="I130" s="3">
        <f t="shared" si="9"/>
        <v>1.4800342270393712</v>
      </c>
      <c r="J130" s="3"/>
      <c r="K130" s="3"/>
      <c r="L130" s="3"/>
      <c r="M130" s="3"/>
      <c r="N130">
        <v>0</v>
      </c>
    </row>
    <row r="131" spans="1:14" x14ac:dyDescent="0.35">
      <c r="A131" s="1">
        <v>45200</v>
      </c>
      <c r="B131">
        <v>185.3</v>
      </c>
      <c r="C131" s="2">
        <v>19079.599999999999</v>
      </c>
      <c r="D131">
        <f t="shared" si="6"/>
        <v>-2.844950937708461</v>
      </c>
      <c r="E131">
        <v>6.5</v>
      </c>
      <c r="F131" s="3">
        <f>(B131-B119)/B119 * 100</f>
        <v>4.8670062252405337</v>
      </c>
      <c r="G131">
        <f t="shared" si="10"/>
        <v>5.0199657729606288</v>
      </c>
      <c r="H131" s="3" t="str">
        <f t="shared" si="8"/>
        <v>NORMAL</v>
      </c>
      <c r="I131" s="3">
        <f t="shared" si="9"/>
        <v>1.6329937747594663</v>
      </c>
      <c r="J131" s="3"/>
      <c r="K131" s="3"/>
      <c r="L131" s="3"/>
      <c r="M131" s="3"/>
      <c r="N131">
        <v>0</v>
      </c>
    </row>
    <row r="132" spans="1:14" x14ac:dyDescent="0.35">
      <c r="A132" s="1">
        <v>45231</v>
      </c>
      <c r="B132">
        <v>186.3</v>
      </c>
      <c r="C132" s="2">
        <v>20133.150000000001</v>
      </c>
      <c r="D132">
        <f t="shared" ref="D132" si="13">(C132-C131)/C131*100</f>
        <v>5.5218662865049746</v>
      </c>
      <c r="E132">
        <v>6.5</v>
      </c>
      <c r="F132" s="3">
        <f t="shared" si="12"/>
        <v>5.552407932011338</v>
      </c>
      <c r="G132">
        <f t="shared" si="10"/>
        <v>4.8670062252405337</v>
      </c>
      <c r="H132" s="3" t="str">
        <f t="shared" si="8"/>
        <v>NORMAL</v>
      </c>
      <c r="I132" s="3">
        <f t="shared" si="9"/>
        <v>0.94759206798866202</v>
      </c>
      <c r="J132" s="3"/>
      <c r="K132" s="3"/>
      <c r="L132" s="3"/>
      <c r="M132" s="3"/>
      <c r="N132">
        <v>0</v>
      </c>
    </row>
    <row r="133" spans="1:14" x14ac:dyDescent="0.35">
      <c r="A133" s="1"/>
    </row>
    <row r="134" spans="1:14" x14ac:dyDescent="0.35">
      <c r="A134" s="1"/>
    </row>
    <row r="135" spans="1:14" x14ac:dyDescent="0.35">
      <c r="A135" s="1"/>
    </row>
    <row r="136" spans="1:14" x14ac:dyDescent="0.35">
      <c r="A136" s="1"/>
    </row>
    <row r="137" spans="1:14" x14ac:dyDescent="0.35">
      <c r="A137" s="1"/>
    </row>
    <row r="138" spans="1:14" x14ac:dyDescent="0.35">
      <c r="A138" s="1"/>
    </row>
    <row r="139" spans="1:14" x14ac:dyDescent="0.35">
      <c r="A139" s="1"/>
    </row>
    <row r="140" spans="1:14" x14ac:dyDescent="0.35">
      <c r="A140" s="1"/>
    </row>
    <row r="141" spans="1:14" x14ac:dyDescent="0.35">
      <c r="A141" s="1"/>
    </row>
    <row r="142" spans="1:14" x14ac:dyDescent="0.35">
      <c r="A142" s="1"/>
    </row>
    <row r="143" spans="1:14" x14ac:dyDescent="0.35">
      <c r="A143" s="1"/>
    </row>
    <row r="144" spans="1:14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</sheetData>
  <mergeCells count="3">
    <mergeCell ref="J13:M13"/>
    <mergeCell ref="J18:M18"/>
    <mergeCell ref="J17:M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0F88-B313-4E07-9FD2-CCFFD7C2BDA2}">
  <dimension ref="A1:I19"/>
  <sheetViews>
    <sheetView tabSelected="1" workbookViewId="0"/>
  </sheetViews>
  <sheetFormatPr defaultRowHeight="14.5" x14ac:dyDescent="0.35"/>
  <cols>
    <col min="1" max="1" width="22.36328125" customWidth="1"/>
    <col min="2" max="2" width="18.81640625" customWidth="1"/>
    <col min="3" max="3" width="14" customWidth="1"/>
    <col min="4" max="4" width="15.6328125" customWidth="1"/>
    <col min="5" max="5" width="13.54296875" customWidth="1"/>
    <col min="6" max="6" width="18.26953125" customWidth="1"/>
    <col min="7" max="7" width="13.54296875" customWidth="1"/>
    <col min="8" max="8" width="13.26953125" customWidth="1"/>
    <col min="9" max="9" width="13" customWidth="1"/>
  </cols>
  <sheetData>
    <row r="1" spans="1:9" x14ac:dyDescent="0.35">
      <c r="A1" s="26" t="s">
        <v>7</v>
      </c>
    </row>
    <row r="2" spans="1:9" ht="15" thickBot="1" x14ac:dyDescent="0.4"/>
    <row r="3" spans="1:9" x14ac:dyDescent="0.35">
      <c r="A3" s="8" t="s">
        <v>8</v>
      </c>
      <c r="B3" s="8"/>
    </row>
    <row r="4" spans="1:9" x14ac:dyDescent="0.35">
      <c r="A4" t="s">
        <v>9</v>
      </c>
      <c r="B4">
        <v>7.3322570183570579E-2</v>
      </c>
    </row>
    <row r="5" spans="1:9" x14ac:dyDescent="0.35">
      <c r="A5" t="s">
        <v>10</v>
      </c>
      <c r="B5">
        <v>5.3761992983246331E-3</v>
      </c>
    </row>
    <row r="6" spans="1:9" x14ac:dyDescent="0.35">
      <c r="A6" t="s">
        <v>11</v>
      </c>
      <c r="B6">
        <v>-1.177248692066977E-2</v>
      </c>
    </row>
    <row r="7" spans="1:9" x14ac:dyDescent="0.35">
      <c r="A7" t="s">
        <v>12</v>
      </c>
      <c r="B7">
        <v>4.747602112996482</v>
      </c>
    </row>
    <row r="8" spans="1:9" ht="15" thickBot="1" x14ac:dyDescent="0.4">
      <c r="A8" s="6" t="s">
        <v>13</v>
      </c>
      <c r="B8" s="6">
        <v>119</v>
      </c>
    </row>
    <row r="10" spans="1:9" ht="15" thickBot="1" x14ac:dyDescent="0.4">
      <c r="A10" t="s">
        <v>14</v>
      </c>
    </row>
    <row r="11" spans="1:9" x14ac:dyDescent="0.35">
      <c r="A11" s="7"/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</row>
    <row r="12" spans="1:9" x14ac:dyDescent="0.35">
      <c r="A12" t="s">
        <v>15</v>
      </c>
      <c r="B12">
        <v>2</v>
      </c>
      <c r="C12">
        <v>14.132634606327883</v>
      </c>
      <c r="D12">
        <v>7.0663173031639417</v>
      </c>
      <c r="E12">
        <v>0.31350502479716452</v>
      </c>
      <c r="F12">
        <v>0.7314980108916862</v>
      </c>
    </row>
    <row r="13" spans="1:9" x14ac:dyDescent="0.35">
      <c r="A13" t="s">
        <v>16</v>
      </c>
      <c r="B13">
        <v>116</v>
      </c>
      <c r="C13">
        <v>2614.608195506125</v>
      </c>
      <c r="D13">
        <v>22.539725823328663</v>
      </c>
    </row>
    <row r="14" spans="1:9" ht="15" thickBot="1" x14ac:dyDescent="0.4">
      <c r="A14" s="6" t="s">
        <v>17</v>
      </c>
      <c r="B14" s="6">
        <v>118</v>
      </c>
      <c r="C14" s="6">
        <v>2628.7408301124528</v>
      </c>
      <c r="D14" s="6"/>
      <c r="E14" s="6"/>
      <c r="F14" s="6"/>
    </row>
    <row r="15" spans="1:9" ht="15" thickBot="1" x14ac:dyDescent="0.4"/>
    <row r="16" spans="1:9" x14ac:dyDescent="0.35">
      <c r="A16" s="7"/>
      <c r="B16" s="7" t="s">
        <v>24</v>
      </c>
      <c r="C16" s="7" t="s">
        <v>12</v>
      </c>
      <c r="D16" s="7" t="s">
        <v>25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30</v>
      </c>
    </row>
    <row r="17" spans="1:9" x14ac:dyDescent="0.35">
      <c r="A17" t="s">
        <v>18</v>
      </c>
      <c r="B17">
        <v>1.7313024145151181</v>
      </c>
      <c r="C17">
        <v>2.7368481978553354</v>
      </c>
      <c r="D17">
        <v>0.63258985860882277</v>
      </c>
      <c r="E17">
        <v>0.52824649784764577</v>
      </c>
      <c r="F17">
        <v>-3.68937029094046</v>
      </c>
      <c r="G17">
        <v>7.1519751199706967</v>
      </c>
      <c r="H17">
        <v>-3.68937029094046</v>
      </c>
      <c r="I17">
        <v>7.1519751199706967</v>
      </c>
    </row>
    <row r="18" spans="1:9" x14ac:dyDescent="0.35">
      <c r="A18" t="s">
        <v>31</v>
      </c>
      <c r="B18">
        <v>0.12340070119746205</v>
      </c>
      <c r="C18">
        <v>0.28587961960139763</v>
      </c>
      <c r="D18">
        <v>0.43165267034257226</v>
      </c>
      <c r="E18">
        <v>0.66679508636820628</v>
      </c>
      <c r="F18">
        <v>-0.44281990695817941</v>
      </c>
      <c r="G18">
        <v>0.68962130935310351</v>
      </c>
      <c r="H18">
        <v>-0.44281990695817941</v>
      </c>
      <c r="I18">
        <v>0.68962130935310351</v>
      </c>
    </row>
    <row r="19" spans="1:9" ht="15" thickBot="1" x14ac:dyDescent="0.4">
      <c r="A19" s="6" t="s">
        <v>32</v>
      </c>
      <c r="B19" s="6">
        <v>-0.21387218268752869</v>
      </c>
      <c r="C19" s="6">
        <v>0.35144407229635571</v>
      </c>
      <c r="D19" s="6">
        <v>-0.60855253949817845</v>
      </c>
      <c r="E19" s="6">
        <v>0.54401089152226989</v>
      </c>
      <c r="F19" s="6">
        <v>-0.90995145068780314</v>
      </c>
      <c r="G19" s="6">
        <v>0.4822070853127457</v>
      </c>
      <c r="H19" s="6">
        <v>-0.90995145068780314</v>
      </c>
      <c r="I19" s="6">
        <v>0.4822070853127457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2210-B8DB-48CF-B8F0-193440E60159}">
  <dimension ref="A1:B1"/>
  <sheetViews>
    <sheetView workbookViewId="0">
      <selection activeCell="E22" sqref="E22"/>
    </sheetView>
  </sheetViews>
  <sheetFormatPr defaultRowHeight="14.5" x14ac:dyDescent="0.35"/>
  <cols>
    <col min="1" max="2" width="8.7265625" customWidth="1"/>
  </cols>
  <sheetData>
    <row r="1" spans="1:2" s="15" customFormat="1" x14ac:dyDescent="0.35">
      <c r="A1" s="15" t="s">
        <v>33</v>
      </c>
      <c r="B1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850F-1EF2-4383-9219-E2D7DA0BF4F1}">
  <dimension ref="A1"/>
  <sheetViews>
    <sheetView workbookViewId="0">
      <selection activeCell="M19" sqref="M19"/>
    </sheetView>
  </sheetViews>
  <sheetFormatPr defaultRowHeight="14.5" x14ac:dyDescent="0.35"/>
  <sheetData>
    <row r="1" spans="1:1" s="15" customFormat="1" x14ac:dyDescent="0.35">
      <c r="A1" s="15" t="s">
        <v>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93A9-3B4C-4E93-9302-76D4B1B58551}">
  <dimension ref="A1:D1"/>
  <sheetViews>
    <sheetView workbookViewId="0">
      <selection activeCell="N12" sqref="N12"/>
    </sheetView>
  </sheetViews>
  <sheetFormatPr defaultRowHeight="14.5" x14ac:dyDescent="0.35"/>
  <cols>
    <col min="1" max="1" width="8.7265625" customWidth="1"/>
  </cols>
  <sheetData>
    <row r="1" spans="1:4" s="15" customFormat="1" x14ac:dyDescent="0.35">
      <c r="A1" s="25" t="s">
        <v>36</v>
      </c>
      <c r="B1" s="25"/>
      <c r="C1" s="25"/>
      <c r="D1" s="25"/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1AD1-1D69-4E89-83F1-A83053A9C2E4}">
  <dimension ref="A1"/>
  <sheetViews>
    <sheetView workbookViewId="0">
      <selection activeCell="M10" sqref="M10"/>
    </sheetView>
  </sheetViews>
  <sheetFormatPr defaultRowHeight="14.5" x14ac:dyDescent="0.35"/>
  <sheetData>
    <row r="1" spans="1:1" s="15" customFormat="1" x14ac:dyDescent="0.35">
      <c r="A1" s="15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regression output </vt:lpstr>
      <vt:lpstr>inflation repo chart</vt:lpstr>
      <vt:lpstr>Nifty Returns Chart</vt:lpstr>
      <vt:lpstr>Scatter Plot (inf vs ret)</vt:lpstr>
      <vt:lpstr>Scatter plot (repo vs ret)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Vemula</dc:creator>
  <cp:lastModifiedBy>Nidhi Vemula</cp:lastModifiedBy>
  <dcterms:created xsi:type="dcterms:W3CDTF">2026-02-11T08:21:51Z</dcterms:created>
  <dcterms:modified xsi:type="dcterms:W3CDTF">2026-03-25T08:55:05Z</dcterms:modified>
</cp:coreProperties>
</file>